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EPS\Project Outputs for Cubesat_PDM\"/>
    </mc:Choice>
  </mc:AlternateContent>
  <xr:revisionPtr revIDLastSave="0" documentId="13_ncr:1_{791DF2A7-3E2A-41DA-AFA0-C3BB48D5954C}" xr6:coauthVersionLast="47" xr6:coauthVersionMax="47" xr10:uidLastSave="{00000000-0000-0000-0000-000000000000}"/>
  <bookViews>
    <workbookView xWindow="-120" yWindow="-120" windowWidth="38640" windowHeight="21240" xr2:uid="{983FFE7F-9B45-473B-9243-AF5243E1964C}"/>
  </bookViews>
  <sheets>
    <sheet name="Cubesat_PDM" sheetId="1" r:id="rId1"/>
  </sheets>
  <definedNames>
    <definedName name="_xlnm.Print_Titles" localSheetId="0">Cubesat_PDM!$1:$1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2" i="1"/>
</calcChain>
</file>

<file path=xl/sharedStrings.xml><?xml version="1.0" encoding="utf-8"?>
<sst xmlns="http://schemas.openxmlformats.org/spreadsheetml/2006/main" count="471" uniqueCount="346">
  <si>
    <t>Line #</t>
  </si>
  <si>
    <t>Designator</t>
  </si>
  <si>
    <t>Name</t>
  </si>
  <si>
    <t>Part Number</t>
  </si>
  <si>
    <t>Distributor Part Number</t>
  </si>
  <si>
    <t>Description</t>
  </si>
  <si>
    <t>Quantity</t>
  </si>
  <si>
    <t/>
  </si>
  <si>
    <t>C1A, C1B, C1C, C1D, C4, C7, C109, C110, C122, C123, C124, C125</t>
  </si>
  <si>
    <t>CL21B105KAFNNNE</t>
  </si>
  <si>
    <t>1276-1066-1-ND</t>
  </si>
  <si>
    <t>1uF ±10% 25V Ceramic Capacitor X7R 0805 (2012 Metric)</t>
  </si>
  <si>
    <t>C2A, C2B, C2C, C2D, C5, C6, C25, C42, C54, C72</t>
  </si>
  <si>
    <t>CL21B104KACNNNC</t>
  </si>
  <si>
    <t>1276-1099-1-ND</t>
  </si>
  <si>
    <t>0.1uF ±10% 25V Ceramic Capacitor X7R 0805 (2012 Metric)</t>
  </si>
  <si>
    <t>C3A, C3B, C3C, C3D, C29, C40, C41, C46, C58, C69, C70, C75</t>
  </si>
  <si>
    <t>CL21B103KBANNNC</t>
  </si>
  <si>
    <t>1276-1015-1-ND</t>
  </si>
  <si>
    <t>10nF ±10% 50V Ceramic Capacitor X7R 0805 (2012 Metric)</t>
  </si>
  <si>
    <t>C8</t>
  </si>
  <si>
    <t>CL10B105KO8NNNC</t>
  </si>
  <si>
    <t>1276-1019-1-ND</t>
  </si>
  <si>
    <t>C9, C11</t>
  </si>
  <si>
    <t>CL21A225KBFNNNE</t>
  </si>
  <si>
    <t>1276-6702-1-ND</t>
  </si>
  <si>
    <t>2.2uF ±10% 25V Ceramic Capacitor X7R 0805 (2012 Metric)</t>
  </si>
  <si>
    <t>C10</t>
  </si>
  <si>
    <t>CL10B103KO8WPNC</t>
  </si>
  <si>
    <t>1276-CL10B103KO8WPNCCT-ND</t>
  </si>
  <si>
    <t>C12, C13, C14, C15, C17, C18, C28, C45, C57, C74, C91, C92, C93, C94, C95, C96, C97, C98, C99</t>
  </si>
  <si>
    <t>CL05B104KB5NNNC</t>
  </si>
  <si>
    <t>1276-CL05B104KB5NNNCCT-ND</t>
  </si>
  <si>
    <t>0.1 µF ±10% 50V Ceramic Capacitor X7R 0402 (1005 Metric)</t>
  </si>
  <si>
    <t>C16, C20, C88A, C88B, C89A, C89B, C90</t>
  </si>
  <si>
    <t>CL10B104KO8NNNC</t>
  </si>
  <si>
    <t>1276-1005-1-ND</t>
  </si>
  <si>
    <t>0.1 µF ±10% 16V Ceramic Capacitor X7R 0603 (1608 Metric)</t>
  </si>
  <si>
    <t>C19, C100</t>
  </si>
  <si>
    <t>CAPC0805</t>
  </si>
  <si>
    <t>1276-2970-1-ND</t>
  </si>
  <si>
    <t>4.7 µF ±10% 16V Ceramic Capacitor X7R 0805 (2012 Metric)</t>
  </si>
  <si>
    <t>C21, C23</t>
  </si>
  <si>
    <t>KGM05ACG1H180FH</t>
  </si>
  <si>
    <t>478-KGM05ACG1H180FHCT-ND</t>
  </si>
  <si>
    <t>18 pF ±1% 50V Ceramic Capacitor C0G, NP0 0402 (1005 Metric)</t>
  </si>
  <si>
    <t>C22, C24</t>
  </si>
  <si>
    <t>GJM1555C1H140FB01D</t>
  </si>
  <si>
    <t>2266-GJM1555C1H140FB01DTR-ND</t>
  </si>
  <si>
    <t>14 pF ±1% 50V Ceramic Capacitor C0G, NP0 0402 (1005 Metric)</t>
  </si>
  <si>
    <t>C26, C27, C43, C44, C55, C56, C71, C73</t>
  </si>
  <si>
    <t>CL32B106KBJNNNE</t>
  </si>
  <si>
    <t>1276-3387-1-ND</t>
  </si>
  <si>
    <t>10 µF ±10% 50V Ceramic Capacitor X7R 1210 (3225 Metric)</t>
  </si>
  <si>
    <t>C30, C34, C36, C38, C47, C50, C59, C63, C65, C66, C76, C80, C82, C83, C102, C103, C105, C106, C107, C108, C111, C112, C113, C114, C115, C116, C117, C118, C119, C120, C121</t>
  </si>
  <si>
    <t>C0603C104K5RACTU</t>
  </si>
  <si>
    <t>[NoParam], C0603C104K5RACTU</t>
  </si>
  <si>
    <t>399-C0603C104K5RACTUCT-ND</t>
  </si>
  <si>
    <t>0.1 µF ±10% 50V Ceramic Capacitor X7R 0603 (1608 Metric)</t>
  </si>
  <si>
    <t>C31, C60, C77</t>
  </si>
  <si>
    <t>TPSC107K010R0100</t>
  </si>
  <si>
    <t>478-1765-1-ND</t>
  </si>
  <si>
    <t>100 µF Molded Tantalum Capacitors 10 V 2312 (6032 Metric) 100mOhm</t>
  </si>
  <si>
    <t>C32, C33, C48, C49, C61, C62, C78, C79</t>
  </si>
  <si>
    <t>CL21A226MAYNNNE</t>
  </si>
  <si>
    <t>1276-CL21A226MAYNNNECT-ND</t>
  </si>
  <si>
    <t>22 µF ±20% 25V Ceramic Capacitor X5R 0805 (2012 Metric)</t>
  </si>
  <si>
    <t>C35, C51, C64, C81</t>
  </si>
  <si>
    <t>C0603C100J5GACTU</t>
  </si>
  <si>
    <t>399-C0603C100J5GACTUCT-ND</t>
  </si>
  <si>
    <t>10 pF ±5% 50V Ceramic Capacitor C0G, NP0 0603 (1608 Metric)</t>
  </si>
  <si>
    <t>C37, C39, C67, C68, C84, C85</t>
  </si>
  <si>
    <t>CL21B473KBCNNNC</t>
  </si>
  <si>
    <t>1276-1250-1-ND</t>
  </si>
  <si>
    <t>0.047 µF ±10% 50V Ceramic Capacitor X7R 0805 (2012 Metric)</t>
  </si>
  <si>
    <t>C52, C86, C87</t>
  </si>
  <si>
    <t>CL21B472KBANNNC</t>
  </si>
  <si>
    <t>1276-1155-1-ND</t>
  </si>
  <si>
    <t>4.7nF ±10% 50V Ceramic Capacitor X7R 0805 (2012 Metric)</t>
  </si>
  <si>
    <t>C53</t>
  </si>
  <si>
    <t>GRM2165C1H272JA01D</t>
  </si>
  <si>
    <t>490-1630-1-ND</t>
  </si>
  <si>
    <t>2.7nF ±5% 50V Ceramic Capacitor C0G, NP0 0805 (2012 Metric)</t>
  </si>
  <si>
    <t>C101A, C101B, C101C, C101D</t>
  </si>
  <si>
    <t>GRM21BZ71E106KE15L</t>
  </si>
  <si>
    <t>490-GRM21BZ71E106KE15LCT-ND</t>
  </si>
  <si>
    <t>10uF ±10% 25V Ceramic Capacitor X7R 0805 (2012 Metric)</t>
  </si>
  <si>
    <t>C104</t>
  </si>
  <si>
    <t>CL32B226MOJNNNE</t>
  </si>
  <si>
    <t>1276-3395-1-ND</t>
  </si>
  <si>
    <t>22 µF ±20% 16V Ceramic Capacitor X7R 1210 (3225 Metric)</t>
  </si>
  <si>
    <t>D1</t>
  </si>
  <si>
    <t>AQ24CANFD-02HTG</t>
  </si>
  <si>
    <t>F10993CT-ND</t>
  </si>
  <si>
    <t>50V Clamp 3A (8/20µs) Ipp Tvs Diode Surface Mount SOT-23-3</t>
  </si>
  <si>
    <t>D2</t>
  </si>
  <si>
    <t>LTST-C170EKT</t>
  </si>
  <si>
    <t>160-1178-1-ND</t>
  </si>
  <si>
    <t>Red 621nm LED Indication - Discrete 2V 0805 (2012 Metric)</t>
  </si>
  <si>
    <t>D3, D4</t>
  </si>
  <si>
    <t>LTST-C170GKT</t>
  </si>
  <si>
    <t>160-1179-1-ND</t>
  </si>
  <si>
    <t>Green 569nm LED Indication - Discrete 2.1V 0805 (2012 Metric)</t>
  </si>
  <si>
    <t>D5, D6, D7</t>
  </si>
  <si>
    <t>LSM0805463V</t>
  </si>
  <si>
    <t>28-LSM0805463VCT-ND</t>
  </si>
  <si>
    <t>Blue 469nm LED Indication - Discrete 3V 0805 (2012 Metric)</t>
  </si>
  <si>
    <t>D8, D9</t>
  </si>
  <si>
    <t>AQ27COM-01FTG</t>
  </si>
  <si>
    <t>Transient Voltage Suppression Diodes - TVS 27V 4A 30kV 12pF SOD323 Diode Array</t>
  </si>
  <si>
    <t>D8A, D8B, D8C, D8D</t>
  </si>
  <si>
    <t>PESD5V0C1BLS-QYL</t>
  </si>
  <si>
    <t>5.4V (Typ) Clamp 6.5A (8/20µs) Ipp Tvs Diode Surface Mount DFN1006BD-2</t>
  </si>
  <si>
    <t>J1, J3, J4, J5, J6</t>
  </si>
  <si>
    <t>0532610471</t>
  </si>
  <si>
    <t>WM7622CT-ND</t>
  </si>
  <si>
    <t>Connector Header Surface Mount, Right Angle 4 position 0.049" (1.25mm) Molex Picoblade</t>
  </si>
  <si>
    <t>J7</t>
  </si>
  <si>
    <t>0532610871</t>
  </si>
  <si>
    <t>WM7624CT-ND</t>
  </si>
  <si>
    <t>Connector Header Surface Mount, Right Angle 8 position 0.049" (1.25mm) Picoblade</t>
  </si>
  <si>
    <t>J8</t>
  </si>
  <si>
    <t>LS2-110-01-L-D</t>
  </si>
  <si>
    <t>SAM9665-ND</t>
  </si>
  <si>
    <t>Connector Self Mating 20 Position , Non-Gendered, Hermaphroditic Through Hole Gold</t>
  </si>
  <si>
    <t>L1</t>
  </si>
  <si>
    <t>ACT45B-101-2P-TL003</t>
  </si>
  <si>
    <t>445-3959-1-ND</t>
  </si>
  <si>
    <t>Common Mode Choke 100 µH @ 100 kHz 2 Line Surface Mount 5.8 kOhms @ 10 MHz 150mA DCR 2Ohm</t>
  </si>
  <si>
    <t>L2, L4, L5</t>
  </si>
  <si>
    <t>1274AS-H-100M=P3</t>
  </si>
  <si>
    <t>490-10846-1-ND</t>
  </si>
  <si>
    <t>Inductor 10 µH , 4.4 A 30.4mOhm Max Shielded Drum Core</t>
  </si>
  <si>
    <t>L3</t>
  </si>
  <si>
    <t>744316560</t>
  </si>
  <si>
    <t>732-6183-1-ND</t>
  </si>
  <si>
    <t>Inductor 5.6uH 4.5A Shielded 28.5mOhm SMD</t>
  </si>
  <si>
    <t>PC1</t>
  </si>
  <si>
    <t>SSQ-126-21-G-D</t>
  </si>
  <si>
    <t>SSQ-126-21-G-D-ND</t>
  </si>
  <si>
    <t>PC104 stack header, 2.54mm 4x26positions</t>
  </si>
  <si>
    <t>Q1, Q2</t>
  </si>
  <si>
    <t>T2N7002AK,LM</t>
  </si>
  <si>
    <t>N-Channel 60 V 200mA (Ta) 320mW (Ta) Surface Mount SOT-23-3</t>
  </si>
  <si>
    <t>Q3A, Q3B</t>
  </si>
  <si>
    <t>NTTFS5C454NLTAG</t>
  </si>
  <si>
    <t>NTTFS5C454NL</t>
  </si>
  <si>
    <t>N-MOSFET 40 V , 85 A, 3.8 mΩ Rds(on) @ 10 V, WDFN-8 3.3×3.3 mm, low Qg (~18 nC)</t>
  </si>
  <si>
    <t>R1A, R1B, R1C, R1D, R20, R22, R37, R40, R47, R49, R61, R63</t>
  </si>
  <si>
    <t>RMCF0805FG100K</t>
  </si>
  <si>
    <t>RMCF0805FG100KCT-ND</t>
  </si>
  <si>
    <t>100 kOhms ±1% 0.125W, 1/8W Chip Resistor 0805 (2012 Metric) Automotive AEC-Q200 Thick Film</t>
  </si>
  <si>
    <t>R2A, R2B, R2C, R2D, R24, R25</t>
  </si>
  <si>
    <t>RMCF0805FT14K0</t>
  </si>
  <si>
    <t>RMCF0805FT14K0CT-ND</t>
  </si>
  <si>
    <t>14 kOhms ±1% 0.125W, 1/8W Chip Resistor 0805 (2012 Metric) Automotive AEC-Q200 Thick Film</t>
  </si>
  <si>
    <t>R3A, R3B, R3C, R3D, R5A, R5B, R5C, R5D, R43</t>
  </si>
  <si>
    <t>RMCF0805FT47K0</t>
  </si>
  <si>
    <t>RMCF0805FT47K0CT-ND</t>
  </si>
  <si>
    <t>47 kOhms ±1% 0.125W, 1/8W Chip Resistor 0805 (2012 Metric) Automotive AEC-Q200 Thick Film</t>
  </si>
  <si>
    <t>R4A, R4B, R4C, R4D, R33, R84, R85, R86, R87, R88, R89, R90, R91, R92, R93</t>
  </si>
  <si>
    <t>RMCF0805FT10K0</t>
  </si>
  <si>
    <t>RMCF0805FT10K0CT-ND</t>
  </si>
  <si>
    <t>10 kOhms ±1% 0.125W, 1/8W Chip Resistor 0805 (2012 Metric) Automotive AEC-Q200 Thick Film</t>
  </si>
  <si>
    <t>R6A, R6B, R6C, R6D, R82</t>
  </si>
  <si>
    <t>RMCF0805FT71K5</t>
  </si>
  <si>
    <t>RMCF0805FT71K5CT-ND</t>
  </si>
  <si>
    <t>71.5 kOhms ±1% 0.125W, 1/8W Chip Resistor 0805 (2012 Metric) Automotive AEC-Q200 Thick Film</t>
  </si>
  <si>
    <t>R7, R80, R81</t>
  </si>
  <si>
    <t>RNCP0805FTD1K00</t>
  </si>
  <si>
    <t>RNCP0805FTD1K00CT-ND</t>
  </si>
  <si>
    <t>1 kOhms ±1% 0.25W, 1/4W Chip Resistor 0805 (2012 Metric) Anti-Sulfur Thin Film</t>
  </si>
  <si>
    <t>R8, R9, R70A, R70B, R73A, R73B</t>
  </si>
  <si>
    <t>CRCW080510K0FKEA</t>
  </si>
  <si>
    <t>541-10.0KCCT-ND</t>
  </si>
  <si>
    <t>10 kOhms ±1% 0.25W, 1/4W Chip Resistor 0805 (2012 Metric) Automotive AEC-Q200 Thick Film</t>
  </si>
  <si>
    <t>R10, R11, R74, R75, R76, R77, R78, R79</t>
  </si>
  <si>
    <t>R12, R13, R14, R38, R65</t>
  </si>
  <si>
    <t>RMCF0805FT120R</t>
  </si>
  <si>
    <t>738-RMCF0805FT120RCT-ND</t>
  </si>
  <si>
    <t>120 Ohms ±1% 0.125W, 1/8W Chip Resistor 0805 (2012 Metric) Automotive AEC-Q200 Thick Film</t>
  </si>
  <si>
    <t>R15</t>
  </si>
  <si>
    <t>RMCF0603FT93K1</t>
  </si>
  <si>
    <t>RMCF0603FT93K1CT-ND</t>
  </si>
  <si>
    <t>93.1 kOhms ±1% 0.1W, 1/10W Chip Resistor 0603 (1608 Metric) Automotive AEC-Q200 Thick Film</t>
  </si>
  <si>
    <t>R16</t>
  </si>
  <si>
    <t>RMCF0603FT100K</t>
  </si>
  <si>
    <t>RMCF0603FT100KCT-ND</t>
  </si>
  <si>
    <t>100 kOhms ±1% 0.1W, 1/10W Chip Resistor 0603 (1608 Metric) Automotive AEC-Q200 Thick Film</t>
  </si>
  <si>
    <t>R17, R44, R58</t>
  </si>
  <si>
    <t>RMCF0805FT53K6</t>
  </si>
  <si>
    <t>RMCF0805FT53K6CT-ND</t>
  </si>
  <si>
    <t>53.6 kOhms ±1% 0.125W, 1/8W Chip Resistor 0805 (2012 Metric) Automotive AEC-Q200 Thick Film</t>
  </si>
  <si>
    <t>R18</t>
  </si>
  <si>
    <t>RMCF0603FT31K6</t>
  </si>
  <si>
    <t>RMCF0603FT31K6CT-ND</t>
  </si>
  <si>
    <t>31.6 kOhms ±1% 0.1W, 1/10W Chip Resistor 0603 (1608 Metric) Automotive AEC-Q200 Thick Film</t>
  </si>
  <si>
    <t>R19, R32, R46, R60, R83</t>
  </si>
  <si>
    <t>RC0603FR-0710KL</t>
  </si>
  <si>
    <t>311-10.0KHRCT-ND</t>
  </si>
  <si>
    <t>10 kOhms ±1% 0.1W, 1/10W Chip Resistor 0603 (1608 Metric) Moisture Resistant Thick Film</t>
  </si>
  <si>
    <t>R21, R23</t>
  </si>
  <si>
    <t>RMCF0805FT63K4</t>
  </si>
  <si>
    <t>RMCF0805FT63K4CT-ND</t>
  </si>
  <si>
    <t>63.4 kOhms ±1% 0.125W, 1/8W Chip Resistor 0805 (2012 Metric) Automotive AEC-Q200 Thick Film</t>
  </si>
  <si>
    <t>R26, R27</t>
  </si>
  <si>
    <t>RMCF0805FT18K0</t>
  </si>
  <si>
    <t>RMCF0805FT18K0CT-ND</t>
  </si>
  <si>
    <t>18 kOhms ±1% 0.125W, 1/8W Chip Resistor 0805 (2012 Metric) Automotive AEC-Q200 Thick Film</t>
  </si>
  <si>
    <t>R28, R56</t>
  </si>
  <si>
    <t>RMCF0603FT174K</t>
  </si>
  <si>
    <t>RMCF0603FT174KCT-ND</t>
  </si>
  <si>
    <t>174 kOhms ±1% 0.1W, 1/10W Chip Resistor 0603 (1608 Metric) Automotive AEC-Q200 Thick Film</t>
  </si>
  <si>
    <t>R29, R42, R57</t>
  </si>
  <si>
    <t>RMCF0805FT332K</t>
  </si>
  <si>
    <t>RMCF0805FT332KCT-ND</t>
  </si>
  <si>
    <t>332 kOhms ±1% 0.125W, 1/8W Chip Resistor 0805 (2012 Metric) Automotive AEC-Q200 Thick Film</t>
  </si>
  <si>
    <t>R30</t>
  </si>
  <si>
    <t>RMCF0805FT100R</t>
  </si>
  <si>
    <t>RMCF0805FT100RCT-ND</t>
  </si>
  <si>
    <t>100 Ohms ±1% 0.125W, 1/8W Chip Resistor 0805 (2012 Metric) Automotive AEC-Q200 Thick Film</t>
  </si>
  <si>
    <t>R31</t>
  </si>
  <si>
    <t>RMCF0603FT59K0</t>
  </si>
  <si>
    <t>RMCF0603FT59K0CT-ND</t>
  </si>
  <si>
    <t>59 kOhms ±1% 0.1W, 1/10W Chip Resistor 0603 (1608 Metric) Automotive AEC-Q200 Thick Film</t>
  </si>
  <si>
    <t>R34</t>
  </si>
  <si>
    <t>RMCF0603FT470K</t>
  </si>
  <si>
    <t>RMCF0603FT470KCT-ND</t>
  </si>
  <si>
    <t>470 kOhms ±1% 0.1W, 1/10W Chip Resistor 0603 (1608 Metric) Automotive AEC-Q200 Thick Film</t>
  </si>
  <si>
    <t>R35, R62, R64</t>
  </si>
  <si>
    <t>RMCF0805FT34K8</t>
  </si>
  <si>
    <t>RMCF0805FT34K8CT-ND</t>
  </si>
  <si>
    <t>34.8 kOhms ±1% 0.125W, 1/8W Chip Resistor 0805 (2012 Metric) Automotive AEC-Q200 Thick Film</t>
  </si>
  <si>
    <t>R36</t>
  </si>
  <si>
    <t>RMCF0805FT115K</t>
  </si>
  <si>
    <t>RMCF0805FT115KCT-ND</t>
  </si>
  <si>
    <t>115 kOhms ±1% 0.125W, 1/8W Chip Resistor 0805 (2012 Metric) Automotive AEC-Q200 Thick Film</t>
  </si>
  <si>
    <t>R39</t>
  </si>
  <si>
    <t>RMCF0805FT1K21</t>
  </si>
  <si>
    <t>RMCF0805FT1K21CT-ND</t>
  </si>
  <si>
    <t>1.21 kOhms ±1% 0.125W, 1/8W Chip Resistor 0805 (2012 Metric) Automotive AEC-Q200 Thick Film</t>
  </si>
  <si>
    <t>R41</t>
  </si>
  <si>
    <t>RMCF0805FT29K4</t>
  </si>
  <si>
    <t>RMCF0805FT29K4CT-ND</t>
  </si>
  <si>
    <t>29.4 kOhms ±1% 0.125W, 1/8W Chip Resistor 0805 (2012 Metric) Automotive AEC-Q200 Thick Film</t>
  </si>
  <si>
    <t>R45</t>
  </si>
  <si>
    <t>RMCF0603FT140K</t>
  </si>
  <si>
    <t>RMCF0603FT140KCT-ND</t>
  </si>
  <si>
    <t>140 kOhms ±1% 0.1W, 1/10W Chip Resistor 0603 (1608 Metric) Automotive AEC-Q200 Thick Film</t>
  </si>
  <si>
    <t>R48, R50</t>
  </si>
  <si>
    <t>RMCF0805FT12K4</t>
  </si>
  <si>
    <t>RMCF0805FT12K4CT-ND</t>
  </si>
  <si>
    <t>R51</t>
  </si>
  <si>
    <t>RMCF0805FT270R</t>
  </si>
  <si>
    <t>RMCF0805FT270RCT-ND</t>
  </si>
  <si>
    <t>270 Ohms ±1% 0.125W, 1/8W Chip Resistor 0805 (2012 Metric) Automotive AEC-Q200 Thick Film</t>
  </si>
  <si>
    <t>R52</t>
  </si>
  <si>
    <t>RMCF0805FT19K6</t>
  </si>
  <si>
    <t>RMCF0805FT19K6CT-ND</t>
  </si>
  <si>
    <t>19.6 kOhms ±1% 0.125W, 1/8W Chip Resistor 0805 (2012 Metric) Automotive AEC-Q200 Thick Film</t>
  </si>
  <si>
    <t>R53</t>
  </si>
  <si>
    <t>RMCF0805FT6K19</t>
  </si>
  <si>
    <t>RMCF0805FT6K19CT-ND</t>
  </si>
  <si>
    <t>6.19 kOhms ±1% 0.125W, 1/8W Chip Resistor 0805 (2012 Metric) Automotive AEC-Q200 Thick Film</t>
  </si>
  <si>
    <t>R54</t>
  </si>
  <si>
    <t>RMCF0805FT20K0</t>
  </si>
  <si>
    <t>RMCF0805FT20K0CT-ND</t>
  </si>
  <si>
    <t>20 kOhms ±1% 0.125W, 1/8W Chip Resistor 0805 (2012 Metric) Automotive AEC-Q200 Thick Film</t>
  </si>
  <si>
    <t>R55</t>
  </si>
  <si>
    <t>RMCF0805FT9K10</t>
  </si>
  <si>
    <t>738-RMCF0805FT9K10CT-ND</t>
  </si>
  <si>
    <t>9.1 kOhms ±1% 0.125W, 1/8W Chip Resistor 0805 (2012 Metric) Automotive AEC-Q200 Thick Film</t>
  </si>
  <si>
    <t>R59</t>
  </si>
  <si>
    <t>RMCF0603FT52K3</t>
  </si>
  <si>
    <t>52.3 kOhms ±1% 0.1W, 1/10W Chip Resistor 0603 (1608 Metric) Automotive AEC-Q200 Thick Film</t>
  </si>
  <si>
    <t>R66, R67</t>
  </si>
  <si>
    <t>RMCF0805FT9K76</t>
  </si>
  <si>
    <t>RMCF0805FT9K76CT-ND</t>
  </si>
  <si>
    <t>9.76 kOhms ±1% 0.125W, 1/8W Chip Resistor 0805 (2012 Metric) Automotive AEC-Q200 Thick Film</t>
  </si>
  <si>
    <t>R68, R69</t>
  </si>
  <si>
    <t>RMCF0805FT13K0</t>
  </si>
  <si>
    <t>RMCF0805FT13K0CT-ND</t>
  </si>
  <si>
    <t>13 kOhms ±1% 0.125W, 1/8W Chip Resistor 0805 (2012 Metric) Automotive AEC-Q200 Thick Film</t>
  </si>
  <si>
    <t>R71A, R71B</t>
  </si>
  <si>
    <t>RNCF0603AKT10R0</t>
  </si>
  <si>
    <t>RNCF0603AKT10R0CT-ND</t>
  </si>
  <si>
    <t>10 Ohms ±0.05% 0.1W, 1/10W Chip Resistor 0603 (1608 Metric) Automotive AEC-Q200 Thin Film</t>
  </si>
  <si>
    <t>R72A, R72B</t>
  </si>
  <si>
    <t>LVK12R050CER</t>
  </si>
  <si>
    <t>Resistor, Current Sense 50 mOhms ±0.25% 0.5W, Moisture Resistant Thick Film</t>
  </si>
  <si>
    <t>S1, S2</t>
  </si>
  <si>
    <t>B3U-1000P</t>
  </si>
  <si>
    <t>SW1020CT-ND</t>
  </si>
  <si>
    <t>Tactile Switch SPST-NO Top Actuated Surface Mount</t>
  </si>
  <si>
    <t>U1A, U1B, U1C, U1D</t>
  </si>
  <si>
    <t>LM73100RPWR</t>
  </si>
  <si>
    <t>296-LM73100RPWRCT-ND</t>
  </si>
  <si>
    <t>Ideal Diode 2.7 - 23 V, 5.5 A with Input Reverse Polarity and_x000D_
Overvoltage Protection</t>
  </si>
  <si>
    <t>U2</t>
  </si>
  <si>
    <t>ADP160AUJZ-2.5-R7</t>
  </si>
  <si>
    <t>ADP160AUJZ-2.5-R7CT-ND</t>
  </si>
  <si>
    <t>Linear Voltage Regulator IC Positive Fixed 2.5V Output 150mA TSOT-23-5</t>
  </si>
  <si>
    <t>U3</t>
  </si>
  <si>
    <t>STM32F427VGT7</t>
  </si>
  <si>
    <t>497-16769-ND</t>
  </si>
  <si>
    <t>ARM® Cortex®-M4 STM32F4 Microcontroller IC 32-Bit 180MHz 1MB (1M x 8) FLASH 100-LQFP (14x14)</t>
  </si>
  <si>
    <t>U4</t>
  </si>
  <si>
    <t>TCAN3414DR</t>
  </si>
  <si>
    <t>296-TCAN3414DRCT-ND</t>
  </si>
  <si>
    <t>3.3 V CAN-FD transceiver, CAN/CAN-FD up to 8 Mb/s, ±58 V bus-fault tolerant, SOIC-8</t>
  </si>
  <si>
    <t>U5, U11, U15, U21</t>
  </si>
  <si>
    <t>TPS62933DRLR</t>
  </si>
  <si>
    <t>296-TPS62933DRLRCT-ND</t>
  </si>
  <si>
    <t>Buck Switching Regulator IC Positive Adjustable 0.8V 1 Output 3A SOT-583</t>
  </si>
  <si>
    <t>U6, U7, U8, U12, U13, U16, U17, U18, U22, U23, U24</t>
  </si>
  <si>
    <t>TSZ181ILT</t>
  </si>
  <si>
    <t>497-18084-1-ND</t>
  </si>
  <si>
    <t>Operational Amplifier, General Purpose, 2.2V~5.5V</t>
  </si>
  <si>
    <t>U9, U10, U19, U20, U25, U26</t>
  </si>
  <si>
    <t>TPS16410DRCR</t>
  </si>
  <si>
    <t>TPS16416DRCR</t>
  </si>
  <si>
    <t>296-TPS16410DRCRCT-ND</t>
  </si>
  <si>
    <t>2.7-V to 40-V 152-mΩ 1.8-A eFuse with output power limiting</t>
  </si>
  <si>
    <t>U14</t>
  </si>
  <si>
    <t>TPS259474LRPWR</t>
  </si>
  <si>
    <t>296-TPS259474LRPWRCT-ND</t>
  </si>
  <si>
    <t>eFuse 5.5A, 2.7V~23V, 28mOhm, Reverse Current Blocking with Input Reverse Polarity Protection</t>
  </si>
  <si>
    <t>U27A, U27B</t>
  </si>
  <si>
    <t>UCC27517AQDBVRQ1</t>
  </si>
  <si>
    <t>296-41038-1-ND</t>
  </si>
  <si>
    <t>Low-Side Gate Driver IC Inverting, Non-Inverting SOT-23-5</t>
  </si>
  <si>
    <t>U28A, U28B</t>
  </si>
  <si>
    <t>INA139NA/250</t>
  </si>
  <si>
    <t>INA139NA/250CT-ND</t>
  </si>
  <si>
    <t>40V Current Sense Amplifier 1 Circuit 8-MSOP</t>
  </si>
  <si>
    <t>U29</t>
  </si>
  <si>
    <t>TCA9511ADGKR</t>
  </si>
  <si>
    <t>Hot-swappable, bidirectional I²C/SMBus bus buffer, 1 V precharge, standard/fast I²C, clock stretching, arbitration, and powered-off high-impedance on bus pins.</t>
  </si>
  <si>
    <t>Y1</t>
  </si>
  <si>
    <t>CM7VT1A32.768KHZ125PF20PPMTBQAT3</t>
  </si>
  <si>
    <t>2195-CM7VT1A32.768KHZ125PF20PPMTBQAT3CT-ND</t>
  </si>
  <si>
    <t>CRYSTAL 32.7680KHZ 12.5PF SMD</t>
  </si>
  <si>
    <t>Y2</t>
  </si>
  <si>
    <t>830069882</t>
  </si>
  <si>
    <t>Crystals 12.0 MHZ 18PF 20PPM 120OHM</t>
  </si>
  <si>
    <t>Adjusted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</si>
</sst>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FAEA-4EBD-4F05-BE73-D4CA8204DEDB}">
  <dimension ref="A1:H88"/>
  <sheetViews>
    <sheetView tabSelected="1" zoomScale="70" zoomScaleNormal="70" workbookViewId="0">
      <selection activeCell="L40" sqref="L40"/>
    </sheetView>
  </sheetViews>
  <sheetFormatPr defaultRowHeight="15" x14ac:dyDescent="0.25"/>
  <cols>
    <col min="1" max="1" width="9.28515625" customWidth="1"/>
    <col min="2" max="2" width="64.5703125" customWidth="1"/>
    <col min="3" max="3" width="28.7109375" customWidth="1"/>
    <col min="4" max="4" width="14.42578125" customWidth="1"/>
    <col min="5" max="5" width="32.85546875" customWidth="1"/>
    <col min="6" max="6" width="64" customWidth="1"/>
    <col min="7" max="7" width="11.28515625" customWidth="1"/>
    <col min="8" max="8" width="17.5703125" customWidth="1"/>
  </cols>
  <sheetData>
    <row r="1" spans="1:8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345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11</v>
      </c>
      <c r="G2" s="1">
        <v>12</v>
      </c>
      <c r="H2">
        <f>MAX(G2,10)</f>
        <v>12</v>
      </c>
    </row>
    <row r="3" spans="1:8" x14ac:dyDescent="0.25">
      <c r="A3" s="2" t="s">
        <v>7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  <c r="G3" s="1">
        <v>10</v>
      </c>
      <c r="H3">
        <f t="shared" ref="H3:H66" si="0">MAX(G3,10)</f>
        <v>10</v>
      </c>
    </row>
    <row r="4" spans="1:8" x14ac:dyDescent="0.25">
      <c r="A4" s="2" t="s">
        <v>7</v>
      </c>
      <c r="B4" s="2" t="s">
        <v>16</v>
      </c>
      <c r="C4" s="2" t="s">
        <v>17</v>
      </c>
      <c r="D4" s="2" t="s">
        <v>17</v>
      </c>
      <c r="E4" s="2" t="s">
        <v>18</v>
      </c>
      <c r="F4" s="2" t="s">
        <v>19</v>
      </c>
      <c r="G4" s="1">
        <v>12</v>
      </c>
      <c r="H4">
        <f t="shared" si="0"/>
        <v>12</v>
      </c>
    </row>
    <row r="5" spans="1:8" x14ac:dyDescent="0.25">
      <c r="A5" s="1"/>
      <c r="B5" s="2" t="s">
        <v>20</v>
      </c>
      <c r="C5" s="2" t="s">
        <v>21</v>
      </c>
      <c r="D5" s="1"/>
      <c r="E5" s="2" t="s">
        <v>22</v>
      </c>
      <c r="F5" s="2" t="s">
        <v>7</v>
      </c>
      <c r="G5" s="1">
        <v>1</v>
      </c>
      <c r="H5">
        <f t="shared" si="0"/>
        <v>10</v>
      </c>
    </row>
    <row r="6" spans="1:8" x14ac:dyDescent="0.25">
      <c r="A6" s="2" t="s">
        <v>7</v>
      </c>
      <c r="B6" s="2" t="s">
        <v>23</v>
      </c>
      <c r="C6" s="2" t="s">
        <v>24</v>
      </c>
      <c r="D6" s="2" t="s">
        <v>24</v>
      </c>
      <c r="E6" s="2" t="s">
        <v>25</v>
      </c>
      <c r="F6" s="2" t="s">
        <v>26</v>
      </c>
      <c r="G6" s="1">
        <v>2</v>
      </c>
      <c r="H6">
        <f t="shared" si="0"/>
        <v>10</v>
      </c>
    </row>
    <row r="7" spans="1:8" x14ac:dyDescent="0.25">
      <c r="A7" s="1"/>
      <c r="B7" s="2" t="s">
        <v>27</v>
      </c>
      <c r="C7" s="2" t="s">
        <v>28</v>
      </c>
      <c r="D7" s="1"/>
      <c r="E7" s="2" t="s">
        <v>29</v>
      </c>
      <c r="F7" s="2" t="s">
        <v>7</v>
      </c>
      <c r="G7" s="1">
        <v>1</v>
      </c>
      <c r="H7">
        <f t="shared" si="0"/>
        <v>10</v>
      </c>
    </row>
    <row r="8" spans="1:8" x14ac:dyDescent="0.25">
      <c r="A8" s="2" t="s">
        <v>7</v>
      </c>
      <c r="B8" s="2" t="s">
        <v>30</v>
      </c>
      <c r="C8" s="2" t="s">
        <v>31</v>
      </c>
      <c r="D8" s="2" t="s">
        <v>31</v>
      </c>
      <c r="E8" s="2" t="s">
        <v>32</v>
      </c>
      <c r="F8" s="2" t="s">
        <v>33</v>
      </c>
      <c r="G8" s="1">
        <v>19</v>
      </c>
      <c r="H8">
        <f t="shared" si="0"/>
        <v>19</v>
      </c>
    </row>
    <row r="9" spans="1:8" x14ac:dyDescent="0.25">
      <c r="A9" s="2" t="s">
        <v>7</v>
      </c>
      <c r="B9" s="2" t="s">
        <v>34</v>
      </c>
      <c r="C9" s="2" t="s">
        <v>35</v>
      </c>
      <c r="D9" s="1"/>
      <c r="E9" s="2" t="s">
        <v>36</v>
      </c>
      <c r="F9" s="2" t="s">
        <v>37</v>
      </c>
      <c r="G9" s="1">
        <v>7</v>
      </c>
      <c r="H9">
        <f t="shared" si="0"/>
        <v>10</v>
      </c>
    </row>
    <row r="10" spans="1:8" x14ac:dyDescent="0.25">
      <c r="A10" s="2" t="s">
        <v>7</v>
      </c>
      <c r="B10" s="2" t="s">
        <v>38</v>
      </c>
      <c r="C10" s="2" t="s">
        <v>39</v>
      </c>
      <c r="D10" s="1"/>
      <c r="E10" s="2" t="s">
        <v>40</v>
      </c>
      <c r="F10" s="2" t="s">
        <v>41</v>
      </c>
      <c r="G10" s="1">
        <v>2</v>
      </c>
      <c r="H10">
        <f t="shared" si="0"/>
        <v>10</v>
      </c>
    </row>
    <row r="11" spans="1:8" x14ac:dyDescent="0.25">
      <c r="A11" s="2" t="s">
        <v>7</v>
      </c>
      <c r="B11" s="2" t="s">
        <v>42</v>
      </c>
      <c r="C11" s="2" t="s">
        <v>43</v>
      </c>
      <c r="D11" s="1"/>
      <c r="E11" s="2" t="s">
        <v>44</v>
      </c>
      <c r="F11" s="2" t="s">
        <v>45</v>
      </c>
      <c r="G11" s="1">
        <v>2</v>
      </c>
      <c r="H11">
        <f t="shared" si="0"/>
        <v>10</v>
      </c>
    </row>
    <row r="12" spans="1:8" x14ac:dyDescent="0.25">
      <c r="A12" s="2" t="s">
        <v>7</v>
      </c>
      <c r="B12" s="2" t="s">
        <v>46</v>
      </c>
      <c r="C12" s="2" t="s">
        <v>47</v>
      </c>
      <c r="D12" s="1"/>
      <c r="E12" s="2" t="s">
        <v>48</v>
      </c>
      <c r="F12" s="2" t="s">
        <v>49</v>
      </c>
      <c r="G12" s="1">
        <v>2</v>
      </c>
      <c r="H12">
        <f t="shared" si="0"/>
        <v>10</v>
      </c>
    </row>
    <row r="13" spans="1:8" x14ac:dyDescent="0.25">
      <c r="A13" s="2" t="s">
        <v>7</v>
      </c>
      <c r="B13" s="2" t="s">
        <v>50</v>
      </c>
      <c r="C13" s="2" t="s">
        <v>51</v>
      </c>
      <c r="D13" s="1"/>
      <c r="E13" s="2" t="s">
        <v>52</v>
      </c>
      <c r="F13" s="2" t="s">
        <v>53</v>
      </c>
      <c r="G13" s="1">
        <v>8</v>
      </c>
      <c r="H13">
        <f t="shared" si="0"/>
        <v>10</v>
      </c>
    </row>
    <row r="14" spans="1:8" x14ac:dyDescent="0.25">
      <c r="A14" s="2" t="s">
        <v>7</v>
      </c>
      <c r="B14" s="2" t="s">
        <v>54</v>
      </c>
      <c r="C14" s="2" t="s">
        <v>55</v>
      </c>
      <c r="D14" s="2" t="s">
        <v>56</v>
      </c>
      <c r="E14" s="2" t="s">
        <v>57</v>
      </c>
      <c r="F14" s="2" t="s">
        <v>58</v>
      </c>
      <c r="G14" s="1">
        <v>31</v>
      </c>
      <c r="H14">
        <f t="shared" si="0"/>
        <v>31</v>
      </c>
    </row>
    <row r="15" spans="1:8" x14ac:dyDescent="0.25">
      <c r="A15" s="2" t="s">
        <v>7</v>
      </c>
      <c r="B15" s="2" t="s">
        <v>59</v>
      </c>
      <c r="C15" s="2" t="s">
        <v>60</v>
      </c>
      <c r="D15" s="2" t="s">
        <v>60</v>
      </c>
      <c r="E15" s="2" t="s">
        <v>61</v>
      </c>
      <c r="F15" s="2" t="s">
        <v>62</v>
      </c>
      <c r="G15" s="1">
        <v>3</v>
      </c>
      <c r="H15">
        <f t="shared" si="0"/>
        <v>10</v>
      </c>
    </row>
    <row r="16" spans="1:8" x14ac:dyDescent="0.25">
      <c r="A16" s="2" t="s">
        <v>7</v>
      </c>
      <c r="B16" s="2" t="s">
        <v>63</v>
      </c>
      <c r="C16" s="2" t="s">
        <v>64</v>
      </c>
      <c r="D16" s="2" t="s">
        <v>64</v>
      </c>
      <c r="E16" s="2" t="s">
        <v>65</v>
      </c>
      <c r="F16" s="2" t="s">
        <v>66</v>
      </c>
      <c r="G16" s="1">
        <v>8</v>
      </c>
      <c r="H16">
        <f t="shared" si="0"/>
        <v>10</v>
      </c>
    </row>
    <row r="17" spans="1:8" x14ac:dyDescent="0.25">
      <c r="A17" s="2" t="s">
        <v>7</v>
      </c>
      <c r="B17" s="2" t="s">
        <v>67</v>
      </c>
      <c r="C17" s="2" t="s">
        <v>55</v>
      </c>
      <c r="D17" s="2" t="s">
        <v>68</v>
      </c>
      <c r="E17" s="2" t="s">
        <v>69</v>
      </c>
      <c r="F17" s="2" t="s">
        <v>70</v>
      </c>
      <c r="G17" s="1">
        <v>4</v>
      </c>
      <c r="H17">
        <f t="shared" si="0"/>
        <v>10</v>
      </c>
    </row>
    <row r="18" spans="1:8" x14ac:dyDescent="0.25">
      <c r="A18" s="2" t="s">
        <v>7</v>
      </c>
      <c r="B18" s="2" t="s">
        <v>71</v>
      </c>
      <c r="C18" s="2" t="s">
        <v>72</v>
      </c>
      <c r="D18" s="2" t="s">
        <v>72</v>
      </c>
      <c r="E18" s="2" t="s">
        <v>73</v>
      </c>
      <c r="F18" s="2" t="s">
        <v>74</v>
      </c>
      <c r="G18" s="1">
        <v>6</v>
      </c>
      <c r="H18">
        <f t="shared" si="0"/>
        <v>10</v>
      </c>
    </row>
    <row r="19" spans="1:8" x14ac:dyDescent="0.25">
      <c r="A19" s="2" t="s">
        <v>7</v>
      </c>
      <c r="B19" s="2" t="s">
        <v>75</v>
      </c>
      <c r="C19" s="2" t="s">
        <v>9</v>
      </c>
      <c r="D19" s="2" t="s">
        <v>76</v>
      </c>
      <c r="E19" s="2" t="s">
        <v>77</v>
      </c>
      <c r="F19" s="2" t="s">
        <v>78</v>
      </c>
      <c r="G19" s="1">
        <v>3</v>
      </c>
      <c r="H19">
        <f t="shared" si="0"/>
        <v>10</v>
      </c>
    </row>
    <row r="20" spans="1:8" x14ac:dyDescent="0.25">
      <c r="A20" s="1"/>
      <c r="B20" s="2" t="s">
        <v>79</v>
      </c>
      <c r="C20" s="2" t="s">
        <v>80</v>
      </c>
      <c r="D20" s="1"/>
      <c r="E20" s="2" t="s">
        <v>81</v>
      </c>
      <c r="F20" s="2" t="s">
        <v>82</v>
      </c>
      <c r="G20" s="1">
        <v>1</v>
      </c>
      <c r="H20">
        <f t="shared" si="0"/>
        <v>10</v>
      </c>
    </row>
    <row r="21" spans="1:8" x14ac:dyDescent="0.25">
      <c r="A21" s="2" t="s">
        <v>7</v>
      </c>
      <c r="B21" s="2" t="s">
        <v>83</v>
      </c>
      <c r="C21" s="2" t="s">
        <v>84</v>
      </c>
      <c r="D21" s="1"/>
      <c r="E21" s="2" t="s">
        <v>85</v>
      </c>
      <c r="F21" s="2" t="s">
        <v>86</v>
      </c>
      <c r="G21" s="1">
        <v>4</v>
      </c>
      <c r="H21">
        <f t="shared" si="0"/>
        <v>10</v>
      </c>
    </row>
    <row r="22" spans="1:8" x14ac:dyDescent="0.25">
      <c r="A22" s="1"/>
      <c r="B22" s="2" t="s">
        <v>87</v>
      </c>
      <c r="C22" s="2" t="s">
        <v>88</v>
      </c>
      <c r="D22" s="2" t="s">
        <v>88</v>
      </c>
      <c r="E22" s="2" t="s">
        <v>89</v>
      </c>
      <c r="F22" s="2" t="s">
        <v>90</v>
      </c>
      <c r="G22" s="1">
        <v>1</v>
      </c>
      <c r="H22">
        <f t="shared" si="0"/>
        <v>10</v>
      </c>
    </row>
    <row r="23" spans="1:8" x14ac:dyDescent="0.25">
      <c r="A23" s="1"/>
      <c r="B23" s="2" t="s">
        <v>91</v>
      </c>
      <c r="C23" s="2" t="s">
        <v>92</v>
      </c>
      <c r="D23" s="2" t="s">
        <v>92</v>
      </c>
      <c r="E23" s="2" t="s">
        <v>93</v>
      </c>
      <c r="F23" s="2" t="s">
        <v>94</v>
      </c>
      <c r="G23" s="1">
        <v>1</v>
      </c>
      <c r="H23">
        <f t="shared" si="0"/>
        <v>10</v>
      </c>
    </row>
    <row r="24" spans="1:8" x14ac:dyDescent="0.25">
      <c r="A24" s="1"/>
      <c r="B24" s="2" t="s">
        <v>95</v>
      </c>
      <c r="C24" s="2" t="s">
        <v>96</v>
      </c>
      <c r="D24" s="1"/>
      <c r="E24" s="2" t="s">
        <v>97</v>
      </c>
      <c r="F24" s="2" t="s">
        <v>98</v>
      </c>
      <c r="G24" s="1">
        <v>1</v>
      </c>
      <c r="H24">
        <f t="shared" si="0"/>
        <v>10</v>
      </c>
    </row>
    <row r="25" spans="1:8" x14ac:dyDescent="0.25">
      <c r="A25" s="2" t="s">
        <v>7</v>
      </c>
      <c r="B25" s="2" t="s">
        <v>99</v>
      </c>
      <c r="C25" s="2" t="s">
        <v>100</v>
      </c>
      <c r="D25" s="1"/>
      <c r="E25" s="2" t="s">
        <v>101</v>
      </c>
      <c r="F25" s="2" t="s">
        <v>102</v>
      </c>
      <c r="G25" s="1">
        <v>2</v>
      </c>
      <c r="H25">
        <f t="shared" si="0"/>
        <v>10</v>
      </c>
    </row>
    <row r="26" spans="1:8" x14ac:dyDescent="0.25">
      <c r="A26" s="2" t="s">
        <v>7</v>
      </c>
      <c r="B26" s="2" t="s">
        <v>103</v>
      </c>
      <c r="C26" s="2" t="s">
        <v>104</v>
      </c>
      <c r="D26" s="1"/>
      <c r="E26" s="2" t="s">
        <v>105</v>
      </c>
      <c r="F26" s="2" t="s">
        <v>106</v>
      </c>
      <c r="G26" s="1">
        <v>3</v>
      </c>
      <c r="H26">
        <f t="shared" si="0"/>
        <v>10</v>
      </c>
    </row>
    <row r="27" spans="1:8" x14ac:dyDescent="0.25">
      <c r="A27" s="2" t="s">
        <v>7</v>
      </c>
      <c r="B27" s="2" t="s">
        <v>107</v>
      </c>
      <c r="C27" s="2" t="s">
        <v>108</v>
      </c>
      <c r="D27" s="2" t="s">
        <v>108</v>
      </c>
      <c r="E27" s="1"/>
      <c r="F27" s="2" t="s">
        <v>109</v>
      </c>
      <c r="G27" s="1">
        <v>2</v>
      </c>
      <c r="H27">
        <f t="shared" si="0"/>
        <v>10</v>
      </c>
    </row>
    <row r="28" spans="1:8" x14ac:dyDescent="0.25">
      <c r="A28" s="2" t="s">
        <v>7</v>
      </c>
      <c r="B28" s="2" t="s">
        <v>110</v>
      </c>
      <c r="C28" s="2" t="s">
        <v>111</v>
      </c>
      <c r="D28" s="2" t="s">
        <v>111</v>
      </c>
      <c r="E28" s="1"/>
      <c r="F28" s="2" t="s">
        <v>112</v>
      </c>
      <c r="G28" s="1">
        <v>4</v>
      </c>
      <c r="H28">
        <f t="shared" si="0"/>
        <v>10</v>
      </c>
    </row>
    <row r="29" spans="1:8" x14ac:dyDescent="0.25">
      <c r="A29" s="2" t="s">
        <v>7</v>
      </c>
      <c r="B29" s="2" t="s">
        <v>113</v>
      </c>
      <c r="C29" s="2" t="s">
        <v>114</v>
      </c>
      <c r="D29" s="2" t="s">
        <v>114</v>
      </c>
      <c r="E29" s="2" t="s">
        <v>115</v>
      </c>
      <c r="F29" s="2" t="s">
        <v>116</v>
      </c>
      <c r="G29" s="1">
        <v>5</v>
      </c>
      <c r="H29">
        <f t="shared" si="0"/>
        <v>10</v>
      </c>
    </row>
    <row r="30" spans="1:8" x14ac:dyDescent="0.25">
      <c r="A30" s="1"/>
      <c r="B30" s="2" t="s">
        <v>117</v>
      </c>
      <c r="C30" s="2" t="s">
        <v>118</v>
      </c>
      <c r="D30" s="2" t="s">
        <v>118</v>
      </c>
      <c r="E30" s="2" t="s">
        <v>119</v>
      </c>
      <c r="F30" s="2" t="s">
        <v>120</v>
      </c>
      <c r="G30" s="1">
        <v>1</v>
      </c>
      <c r="H30">
        <f t="shared" si="0"/>
        <v>10</v>
      </c>
    </row>
    <row r="31" spans="1:8" x14ac:dyDescent="0.25">
      <c r="A31" s="1"/>
      <c r="B31" s="2" t="s">
        <v>121</v>
      </c>
      <c r="C31" s="2" t="s">
        <v>122</v>
      </c>
      <c r="D31" s="2" t="s">
        <v>122</v>
      </c>
      <c r="E31" s="2" t="s">
        <v>123</v>
      </c>
      <c r="F31" s="2" t="s">
        <v>124</v>
      </c>
      <c r="G31" s="1">
        <v>1</v>
      </c>
      <c r="H31">
        <f t="shared" si="0"/>
        <v>10</v>
      </c>
    </row>
    <row r="32" spans="1:8" x14ac:dyDescent="0.25">
      <c r="A32" s="1"/>
      <c r="B32" s="2" t="s">
        <v>125</v>
      </c>
      <c r="C32" s="2" t="s">
        <v>126</v>
      </c>
      <c r="D32" s="2" t="s">
        <v>126</v>
      </c>
      <c r="E32" s="2" t="s">
        <v>127</v>
      </c>
      <c r="F32" s="2" t="s">
        <v>128</v>
      </c>
      <c r="G32" s="1">
        <v>1</v>
      </c>
      <c r="H32">
        <f t="shared" si="0"/>
        <v>10</v>
      </c>
    </row>
    <row r="33" spans="1:8" x14ac:dyDescent="0.25">
      <c r="A33" s="2" t="s">
        <v>7</v>
      </c>
      <c r="B33" s="2" t="s">
        <v>129</v>
      </c>
      <c r="C33" s="2" t="s">
        <v>130</v>
      </c>
      <c r="D33" s="2" t="s">
        <v>130</v>
      </c>
      <c r="E33" s="2" t="s">
        <v>131</v>
      </c>
      <c r="F33" s="2" t="s">
        <v>132</v>
      </c>
      <c r="G33" s="1">
        <v>3</v>
      </c>
      <c r="H33">
        <f t="shared" si="0"/>
        <v>10</v>
      </c>
    </row>
    <row r="34" spans="1:8" x14ac:dyDescent="0.25">
      <c r="A34" s="1"/>
      <c r="B34" s="2" t="s">
        <v>133</v>
      </c>
      <c r="C34" s="2" t="s">
        <v>134</v>
      </c>
      <c r="D34" s="2" t="s">
        <v>134</v>
      </c>
      <c r="E34" s="2" t="s">
        <v>135</v>
      </c>
      <c r="F34" s="2" t="s">
        <v>136</v>
      </c>
      <c r="G34" s="1">
        <v>1</v>
      </c>
      <c r="H34">
        <f t="shared" si="0"/>
        <v>10</v>
      </c>
    </row>
    <row r="35" spans="1:8" x14ac:dyDescent="0.25">
      <c r="A35" s="1"/>
      <c r="B35" s="2" t="s">
        <v>137</v>
      </c>
      <c r="C35" s="2" t="s">
        <v>138</v>
      </c>
      <c r="D35" s="2" t="s">
        <v>138</v>
      </c>
      <c r="E35" s="2" t="s">
        <v>139</v>
      </c>
      <c r="F35" s="2" t="s">
        <v>140</v>
      </c>
      <c r="G35" s="1">
        <v>1</v>
      </c>
      <c r="H35">
        <f t="shared" si="0"/>
        <v>10</v>
      </c>
    </row>
    <row r="36" spans="1:8" x14ac:dyDescent="0.25">
      <c r="A36" s="2" t="s">
        <v>7</v>
      </c>
      <c r="B36" s="2" t="s">
        <v>141</v>
      </c>
      <c r="C36" s="2" t="s">
        <v>142</v>
      </c>
      <c r="D36" s="1"/>
      <c r="E36" s="1"/>
      <c r="F36" s="2" t="s">
        <v>143</v>
      </c>
      <c r="G36" s="1">
        <v>2</v>
      </c>
      <c r="H36">
        <f t="shared" si="0"/>
        <v>10</v>
      </c>
    </row>
    <row r="37" spans="1:8" x14ac:dyDescent="0.25">
      <c r="A37" s="2" t="s">
        <v>7</v>
      </c>
      <c r="B37" s="2" t="s">
        <v>144</v>
      </c>
      <c r="C37" s="2" t="s">
        <v>145</v>
      </c>
      <c r="D37" s="2" t="s">
        <v>146</v>
      </c>
      <c r="E37" s="2" t="s">
        <v>7</v>
      </c>
      <c r="F37" s="2" t="s">
        <v>147</v>
      </c>
      <c r="G37" s="1">
        <v>2</v>
      </c>
      <c r="H37">
        <f t="shared" si="0"/>
        <v>10</v>
      </c>
    </row>
    <row r="38" spans="1:8" x14ac:dyDescent="0.25">
      <c r="A38" s="2" t="s">
        <v>7</v>
      </c>
      <c r="B38" s="2" t="s">
        <v>148</v>
      </c>
      <c r="C38" s="2" t="s">
        <v>149</v>
      </c>
      <c r="D38" s="2" t="s">
        <v>149</v>
      </c>
      <c r="E38" s="2" t="s">
        <v>150</v>
      </c>
      <c r="F38" s="2" t="s">
        <v>151</v>
      </c>
      <c r="G38" s="1">
        <v>12</v>
      </c>
      <c r="H38">
        <f t="shared" si="0"/>
        <v>12</v>
      </c>
    </row>
    <row r="39" spans="1:8" x14ac:dyDescent="0.25">
      <c r="A39" s="2" t="s">
        <v>7</v>
      </c>
      <c r="B39" s="2" t="s">
        <v>152</v>
      </c>
      <c r="C39" s="2" t="s">
        <v>153</v>
      </c>
      <c r="D39" s="2" t="s">
        <v>153</v>
      </c>
      <c r="E39" s="2" t="s">
        <v>154</v>
      </c>
      <c r="F39" s="2" t="s">
        <v>155</v>
      </c>
      <c r="G39" s="1">
        <v>6</v>
      </c>
      <c r="H39">
        <f t="shared" si="0"/>
        <v>10</v>
      </c>
    </row>
    <row r="40" spans="1:8" x14ac:dyDescent="0.25">
      <c r="A40" s="2" t="s">
        <v>7</v>
      </c>
      <c r="B40" s="2" t="s">
        <v>156</v>
      </c>
      <c r="C40" s="2" t="s">
        <v>157</v>
      </c>
      <c r="D40" s="2" t="s">
        <v>157</v>
      </c>
      <c r="E40" s="2" t="s">
        <v>158</v>
      </c>
      <c r="F40" s="2" t="s">
        <v>159</v>
      </c>
      <c r="G40" s="1">
        <v>9</v>
      </c>
      <c r="H40">
        <f t="shared" si="0"/>
        <v>10</v>
      </c>
    </row>
    <row r="41" spans="1:8" x14ac:dyDescent="0.25">
      <c r="A41" s="2" t="s">
        <v>7</v>
      </c>
      <c r="B41" s="2" t="s">
        <v>160</v>
      </c>
      <c r="C41" s="2" t="s">
        <v>161</v>
      </c>
      <c r="D41" s="2" t="s">
        <v>161</v>
      </c>
      <c r="E41" s="2" t="s">
        <v>162</v>
      </c>
      <c r="F41" s="2" t="s">
        <v>163</v>
      </c>
      <c r="G41" s="1">
        <v>15</v>
      </c>
      <c r="H41">
        <f t="shared" si="0"/>
        <v>15</v>
      </c>
    </row>
    <row r="42" spans="1:8" x14ac:dyDescent="0.25">
      <c r="A42" s="2" t="s">
        <v>7</v>
      </c>
      <c r="B42" s="2" t="s">
        <v>164</v>
      </c>
      <c r="C42" s="2" t="s">
        <v>165</v>
      </c>
      <c r="D42" s="2" t="s">
        <v>165</v>
      </c>
      <c r="E42" s="2" t="s">
        <v>166</v>
      </c>
      <c r="F42" s="2" t="s">
        <v>167</v>
      </c>
      <c r="G42" s="1">
        <v>5</v>
      </c>
      <c r="H42">
        <f t="shared" si="0"/>
        <v>10</v>
      </c>
    </row>
    <row r="43" spans="1:8" x14ac:dyDescent="0.25">
      <c r="A43" s="2" t="s">
        <v>7</v>
      </c>
      <c r="B43" s="2" t="s">
        <v>168</v>
      </c>
      <c r="C43" s="2" t="s">
        <v>169</v>
      </c>
      <c r="D43" s="1"/>
      <c r="E43" s="2" t="s">
        <v>170</v>
      </c>
      <c r="F43" s="2" t="s">
        <v>171</v>
      </c>
      <c r="G43" s="1">
        <v>3</v>
      </c>
      <c r="H43">
        <f t="shared" si="0"/>
        <v>10</v>
      </c>
    </row>
    <row r="44" spans="1:8" x14ac:dyDescent="0.25">
      <c r="A44" s="2" t="s">
        <v>7</v>
      </c>
      <c r="B44" s="2" t="s">
        <v>172</v>
      </c>
      <c r="C44" s="2" t="s">
        <v>173</v>
      </c>
      <c r="D44" s="1"/>
      <c r="E44" s="2" t="s">
        <v>174</v>
      </c>
      <c r="F44" s="2" t="s">
        <v>175</v>
      </c>
      <c r="G44" s="1">
        <v>6</v>
      </c>
      <c r="H44">
        <f t="shared" si="0"/>
        <v>10</v>
      </c>
    </row>
    <row r="45" spans="1:8" x14ac:dyDescent="0.25">
      <c r="A45" s="2" t="s">
        <v>7</v>
      </c>
      <c r="B45" s="2" t="s">
        <v>176</v>
      </c>
      <c r="C45" s="2" t="s">
        <v>7</v>
      </c>
      <c r="D45" s="1"/>
      <c r="E45" s="1"/>
      <c r="F45" s="2" t="s">
        <v>7</v>
      </c>
      <c r="G45" s="1">
        <v>8</v>
      </c>
      <c r="H45">
        <f t="shared" si="0"/>
        <v>10</v>
      </c>
    </row>
    <row r="46" spans="1:8" x14ac:dyDescent="0.25">
      <c r="A46" s="2" t="s">
        <v>7</v>
      </c>
      <c r="B46" s="2" t="s">
        <v>177</v>
      </c>
      <c r="C46" s="2" t="s">
        <v>178</v>
      </c>
      <c r="D46" s="2" t="s">
        <v>178</v>
      </c>
      <c r="E46" s="2" t="s">
        <v>179</v>
      </c>
      <c r="F46" s="2" t="s">
        <v>180</v>
      </c>
      <c r="G46" s="1">
        <v>5</v>
      </c>
      <c r="H46">
        <f t="shared" si="0"/>
        <v>10</v>
      </c>
    </row>
    <row r="47" spans="1:8" x14ac:dyDescent="0.25">
      <c r="A47" s="1"/>
      <c r="B47" s="2" t="s">
        <v>181</v>
      </c>
      <c r="C47" s="2" t="s">
        <v>182</v>
      </c>
      <c r="D47" s="2" t="s">
        <v>182</v>
      </c>
      <c r="E47" s="2" t="s">
        <v>183</v>
      </c>
      <c r="F47" s="2" t="s">
        <v>184</v>
      </c>
      <c r="G47" s="1">
        <v>1</v>
      </c>
      <c r="H47">
        <f t="shared" si="0"/>
        <v>10</v>
      </c>
    </row>
    <row r="48" spans="1:8" x14ac:dyDescent="0.25">
      <c r="A48" s="1"/>
      <c r="B48" s="2" t="s">
        <v>185</v>
      </c>
      <c r="C48" s="2" t="s">
        <v>186</v>
      </c>
      <c r="D48" s="2" t="s">
        <v>186</v>
      </c>
      <c r="E48" s="2" t="s">
        <v>187</v>
      </c>
      <c r="F48" s="2" t="s">
        <v>188</v>
      </c>
      <c r="G48" s="1">
        <v>1</v>
      </c>
      <c r="H48">
        <f t="shared" si="0"/>
        <v>10</v>
      </c>
    </row>
    <row r="49" spans="1:8" x14ac:dyDescent="0.25">
      <c r="A49" s="2" t="s">
        <v>7</v>
      </c>
      <c r="B49" s="2" t="s">
        <v>189</v>
      </c>
      <c r="C49" s="2" t="s">
        <v>190</v>
      </c>
      <c r="D49" s="2" t="s">
        <v>190</v>
      </c>
      <c r="E49" s="2" t="s">
        <v>191</v>
      </c>
      <c r="F49" s="2" t="s">
        <v>192</v>
      </c>
      <c r="G49" s="1">
        <v>3</v>
      </c>
      <c r="H49">
        <f t="shared" si="0"/>
        <v>10</v>
      </c>
    </row>
    <row r="50" spans="1:8" x14ac:dyDescent="0.25">
      <c r="A50" s="1"/>
      <c r="B50" s="2" t="s">
        <v>193</v>
      </c>
      <c r="C50" s="2" t="s">
        <v>194</v>
      </c>
      <c r="D50" s="2" t="s">
        <v>194</v>
      </c>
      <c r="E50" s="2" t="s">
        <v>195</v>
      </c>
      <c r="F50" s="2" t="s">
        <v>196</v>
      </c>
      <c r="G50" s="1">
        <v>1</v>
      </c>
      <c r="H50">
        <f t="shared" si="0"/>
        <v>10</v>
      </c>
    </row>
    <row r="51" spans="1:8" x14ac:dyDescent="0.25">
      <c r="A51" s="2" t="s">
        <v>7</v>
      </c>
      <c r="B51" s="2" t="s">
        <v>197</v>
      </c>
      <c r="C51" s="2" t="s">
        <v>198</v>
      </c>
      <c r="D51" s="1"/>
      <c r="E51" s="2" t="s">
        <v>199</v>
      </c>
      <c r="F51" s="2" t="s">
        <v>200</v>
      </c>
      <c r="G51" s="1">
        <v>5</v>
      </c>
      <c r="H51">
        <f t="shared" si="0"/>
        <v>10</v>
      </c>
    </row>
    <row r="52" spans="1:8" x14ac:dyDescent="0.25">
      <c r="A52" s="2" t="s">
        <v>7</v>
      </c>
      <c r="B52" s="2" t="s">
        <v>201</v>
      </c>
      <c r="C52" s="2" t="s">
        <v>202</v>
      </c>
      <c r="D52" s="2" t="s">
        <v>202</v>
      </c>
      <c r="E52" s="2" t="s">
        <v>203</v>
      </c>
      <c r="F52" s="2" t="s">
        <v>204</v>
      </c>
      <c r="G52" s="1">
        <v>2</v>
      </c>
      <c r="H52">
        <f t="shared" si="0"/>
        <v>10</v>
      </c>
    </row>
    <row r="53" spans="1:8" x14ac:dyDescent="0.25">
      <c r="A53" s="2" t="s">
        <v>7</v>
      </c>
      <c r="B53" s="2" t="s">
        <v>205</v>
      </c>
      <c r="C53" s="2" t="s">
        <v>206</v>
      </c>
      <c r="D53" s="2" t="s">
        <v>206</v>
      </c>
      <c r="E53" s="2" t="s">
        <v>207</v>
      </c>
      <c r="F53" s="2" t="s">
        <v>208</v>
      </c>
      <c r="G53" s="1">
        <v>2</v>
      </c>
      <c r="H53">
        <f t="shared" si="0"/>
        <v>10</v>
      </c>
    </row>
    <row r="54" spans="1:8" x14ac:dyDescent="0.25">
      <c r="A54" s="2" t="s">
        <v>7</v>
      </c>
      <c r="B54" s="2" t="s">
        <v>209</v>
      </c>
      <c r="C54" s="2" t="s">
        <v>210</v>
      </c>
      <c r="D54" s="1"/>
      <c r="E54" s="2" t="s">
        <v>211</v>
      </c>
      <c r="F54" s="2" t="s">
        <v>212</v>
      </c>
      <c r="G54" s="1">
        <v>2</v>
      </c>
      <c r="H54">
        <f t="shared" si="0"/>
        <v>10</v>
      </c>
    </row>
    <row r="55" spans="1:8" x14ac:dyDescent="0.25">
      <c r="A55" s="2" t="s">
        <v>7</v>
      </c>
      <c r="B55" s="2" t="s">
        <v>213</v>
      </c>
      <c r="C55" s="2" t="s">
        <v>214</v>
      </c>
      <c r="D55" s="2" t="s">
        <v>214</v>
      </c>
      <c r="E55" s="2" t="s">
        <v>215</v>
      </c>
      <c r="F55" s="2" t="s">
        <v>216</v>
      </c>
      <c r="G55" s="1">
        <v>3</v>
      </c>
      <c r="H55">
        <f t="shared" si="0"/>
        <v>10</v>
      </c>
    </row>
    <row r="56" spans="1:8" x14ac:dyDescent="0.25">
      <c r="A56" s="1"/>
      <c r="B56" s="2" t="s">
        <v>217</v>
      </c>
      <c r="C56" s="2" t="s">
        <v>218</v>
      </c>
      <c r="D56" s="2" t="s">
        <v>218</v>
      </c>
      <c r="E56" s="2" t="s">
        <v>219</v>
      </c>
      <c r="F56" s="2" t="s">
        <v>220</v>
      </c>
      <c r="G56" s="1">
        <v>1</v>
      </c>
      <c r="H56">
        <f t="shared" si="0"/>
        <v>10</v>
      </c>
    </row>
    <row r="57" spans="1:8" x14ac:dyDescent="0.25">
      <c r="A57" s="1"/>
      <c r="B57" s="2" t="s">
        <v>221</v>
      </c>
      <c r="C57" s="2" t="s">
        <v>222</v>
      </c>
      <c r="D57" s="2" t="s">
        <v>222</v>
      </c>
      <c r="E57" s="2" t="s">
        <v>223</v>
      </c>
      <c r="F57" s="2" t="s">
        <v>224</v>
      </c>
      <c r="G57" s="1">
        <v>1</v>
      </c>
      <c r="H57">
        <f t="shared" si="0"/>
        <v>10</v>
      </c>
    </row>
    <row r="58" spans="1:8" x14ac:dyDescent="0.25">
      <c r="A58" s="1"/>
      <c r="B58" s="2" t="s">
        <v>225</v>
      </c>
      <c r="C58" s="2" t="s">
        <v>226</v>
      </c>
      <c r="D58" s="2" t="s">
        <v>226</v>
      </c>
      <c r="E58" s="2" t="s">
        <v>227</v>
      </c>
      <c r="F58" s="2" t="s">
        <v>228</v>
      </c>
      <c r="G58" s="1">
        <v>1</v>
      </c>
      <c r="H58">
        <f t="shared" si="0"/>
        <v>10</v>
      </c>
    </row>
    <row r="59" spans="1:8" x14ac:dyDescent="0.25">
      <c r="A59" s="2" t="s">
        <v>7</v>
      </c>
      <c r="B59" s="2" t="s">
        <v>229</v>
      </c>
      <c r="C59" s="2" t="s">
        <v>230</v>
      </c>
      <c r="D59" s="2" t="s">
        <v>230</v>
      </c>
      <c r="E59" s="2" t="s">
        <v>231</v>
      </c>
      <c r="F59" s="2" t="s">
        <v>232</v>
      </c>
      <c r="G59" s="1">
        <v>3</v>
      </c>
      <c r="H59">
        <f t="shared" si="0"/>
        <v>10</v>
      </c>
    </row>
    <row r="60" spans="1:8" x14ac:dyDescent="0.25">
      <c r="A60" s="1"/>
      <c r="B60" s="2" t="s">
        <v>233</v>
      </c>
      <c r="C60" s="2" t="s">
        <v>234</v>
      </c>
      <c r="D60" s="2" t="s">
        <v>234</v>
      </c>
      <c r="E60" s="2" t="s">
        <v>235</v>
      </c>
      <c r="F60" s="2" t="s">
        <v>236</v>
      </c>
      <c r="G60" s="1">
        <v>1</v>
      </c>
      <c r="H60">
        <f t="shared" si="0"/>
        <v>10</v>
      </c>
    </row>
    <row r="61" spans="1:8" x14ac:dyDescent="0.25">
      <c r="A61" s="1"/>
      <c r="B61" s="2" t="s">
        <v>237</v>
      </c>
      <c r="C61" s="2" t="s">
        <v>238</v>
      </c>
      <c r="D61" s="2" t="s">
        <v>238</v>
      </c>
      <c r="E61" s="2" t="s">
        <v>239</v>
      </c>
      <c r="F61" s="2" t="s">
        <v>240</v>
      </c>
      <c r="G61" s="1">
        <v>1</v>
      </c>
      <c r="H61">
        <f t="shared" si="0"/>
        <v>10</v>
      </c>
    </row>
    <row r="62" spans="1:8" x14ac:dyDescent="0.25">
      <c r="A62" s="1"/>
      <c r="B62" s="2" t="s">
        <v>241</v>
      </c>
      <c r="C62" s="2" t="s">
        <v>242</v>
      </c>
      <c r="D62" s="2" t="s">
        <v>242</v>
      </c>
      <c r="E62" s="2" t="s">
        <v>243</v>
      </c>
      <c r="F62" s="2" t="s">
        <v>244</v>
      </c>
      <c r="G62" s="1">
        <v>1</v>
      </c>
      <c r="H62">
        <f t="shared" si="0"/>
        <v>10</v>
      </c>
    </row>
    <row r="63" spans="1:8" x14ac:dyDescent="0.25">
      <c r="A63" s="1"/>
      <c r="B63" s="2" t="s">
        <v>245</v>
      </c>
      <c r="C63" s="2" t="s">
        <v>246</v>
      </c>
      <c r="D63" s="2" t="s">
        <v>186</v>
      </c>
      <c r="E63" s="2" t="s">
        <v>247</v>
      </c>
      <c r="F63" s="2" t="s">
        <v>248</v>
      </c>
      <c r="G63" s="1">
        <v>1</v>
      </c>
      <c r="H63">
        <f t="shared" si="0"/>
        <v>10</v>
      </c>
    </row>
    <row r="64" spans="1:8" x14ac:dyDescent="0.25">
      <c r="A64" s="2" t="s">
        <v>7</v>
      </c>
      <c r="B64" s="2" t="s">
        <v>249</v>
      </c>
      <c r="C64" s="2" t="s">
        <v>250</v>
      </c>
      <c r="D64" s="2" t="s">
        <v>250</v>
      </c>
      <c r="E64" s="2" t="s">
        <v>251</v>
      </c>
      <c r="F64" s="2" t="s">
        <v>208</v>
      </c>
      <c r="G64" s="1">
        <v>2</v>
      </c>
      <c r="H64">
        <f t="shared" si="0"/>
        <v>10</v>
      </c>
    </row>
    <row r="65" spans="1:8" x14ac:dyDescent="0.25">
      <c r="A65" s="1"/>
      <c r="B65" s="2" t="s">
        <v>252</v>
      </c>
      <c r="C65" s="2" t="s">
        <v>253</v>
      </c>
      <c r="D65" s="2" t="s">
        <v>253</v>
      </c>
      <c r="E65" s="2" t="s">
        <v>254</v>
      </c>
      <c r="F65" s="2" t="s">
        <v>255</v>
      </c>
      <c r="G65" s="1">
        <v>1</v>
      </c>
      <c r="H65">
        <f t="shared" si="0"/>
        <v>10</v>
      </c>
    </row>
    <row r="66" spans="1:8" x14ac:dyDescent="0.25">
      <c r="A66" s="1"/>
      <c r="B66" s="2" t="s">
        <v>256</v>
      </c>
      <c r="C66" s="2" t="s">
        <v>257</v>
      </c>
      <c r="D66" s="2" t="s">
        <v>257</v>
      </c>
      <c r="E66" s="2" t="s">
        <v>258</v>
      </c>
      <c r="F66" s="2" t="s">
        <v>259</v>
      </c>
      <c r="G66" s="1">
        <v>1</v>
      </c>
      <c r="H66">
        <f t="shared" si="0"/>
        <v>10</v>
      </c>
    </row>
    <row r="67" spans="1:8" x14ac:dyDescent="0.25">
      <c r="A67" s="1"/>
      <c r="B67" s="2" t="s">
        <v>260</v>
      </c>
      <c r="C67" s="2" t="s">
        <v>261</v>
      </c>
      <c r="D67" s="2" t="s">
        <v>261</v>
      </c>
      <c r="E67" s="2" t="s">
        <v>262</v>
      </c>
      <c r="F67" s="2" t="s">
        <v>263</v>
      </c>
      <c r="G67" s="1">
        <v>1</v>
      </c>
      <c r="H67">
        <f t="shared" ref="H67:H88" si="1">MAX(G67,10)</f>
        <v>10</v>
      </c>
    </row>
    <row r="68" spans="1:8" x14ac:dyDescent="0.25">
      <c r="A68" s="1"/>
      <c r="B68" s="2" t="s">
        <v>264</v>
      </c>
      <c r="C68" s="2" t="s">
        <v>265</v>
      </c>
      <c r="D68" s="2" t="s">
        <v>265</v>
      </c>
      <c r="E68" s="2" t="s">
        <v>266</v>
      </c>
      <c r="F68" s="2" t="s">
        <v>267</v>
      </c>
      <c r="G68" s="1">
        <v>1</v>
      </c>
      <c r="H68">
        <f t="shared" si="1"/>
        <v>10</v>
      </c>
    </row>
    <row r="69" spans="1:8" x14ac:dyDescent="0.25">
      <c r="A69" s="1"/>
      <c r="B69" s="2" t="s">
        <v>268</v>
      </c>
      <c r="C69" s="2" t="s">
        <v>269</v>
      </c>
      <c r="D69" s="2" t="s">
        <v>269</v>
      </c>
      <c r="E69" s="2" t="s">
        <v>270</v>
      </c>
      <c r="F69" s="2" t="s">
        <v>271</v>
      </c>
      <c r="G69" s="1">
        <v>1</v>
      </c>
      <c r="H69">
        <f t="shared" si="1"/>
        <v>10</v>
      </c>
    </row>
    <row r="70" spans="1:8" x14ac:dyDescent="0.25">
      <c r="A70" s="1"/>
      <c r="B70" s="2" t="s">
        <v>272</v>
      </c>
      <c r="C70" s="2" t="s">
        <v>273</v>
      </c>
      <c r="D70" s="2" t="s">
        <v>273</v>
      </c>
      <c r="E70" s="2" t="s">
        <v>211</v>
      </c>
      <c r="F70" s="2" t="s">
        <v>274</v>
      </c>
      <c r="G70" s="1">
        <v>1</v>
      </c>
      <c r="H70">
        <f t="shared" si="1"/>
        <v>10</v>
      </c>
    </row>
    <row r="71" spans="1:8" x14ac:dyDescent="0.25">
      <c r="A71" s="2" t="s">
        <v>7</v>
      </c>
      <c r="B71" s="2" t="s">
        <v>275</v>
      </c>
      <c r="C71" s="2" t="s">
        <v>276</v>
      </c>
      <c r="D71" s="2" t="s">
        <v>276</v>
      </c>
      <c r="E71" s="2" t="s">
        <v>277</v>
      </c>
      <c r="F71" s="2" t="s">
        <v>278</v>
      </c>
      <c r="G71" s="1">
        <v>2</v>
      </c>
      <c r="H71">
        <f t="shared" si="1"/>
        <v>10</v>
      </c>
    </row>
    <row r="72" spans="1:8" x14ac:dyDescent="0.25">
      <c r="A72" s="2" t="s">
        <v>7</v>
      </c>
      <c r="B72" s="2" t="s">
        <v>279</v>
      </c>
      <c r="C72" s="2" t="s">
        <v>280</v>
      </c>
      <c r="D72" s="2" t="s">
        <v>280</v>
      </c>
      <c r="E72" s="2" t="s">
        <v>281</v>
      </c>
      <c r="F72" s="2" t="s">
        <v>282</v>
      </c>
      <c r="G72" s="1">
        <v>2</v>
      </c>
      <c r="H72">
        <f t="shared" si="1"/>
        <v>10</v>
      </c>
    </row>
    <row r="73" spans="1:8" x14ac:dyDescent="0.25">
      <c r="A73" s="2" t="s">
        <v>7</v>
      </c>
      <c r="B73" s="2" t="s">
        <v>283</v>
      </c>
      <c r="C73" s="2" t="s">
        <v>284</v>
      </c>
      <c r="D73" s="1"/>
      <c r="E73" s="2" t="s">
        <v>285</v>
      </c>
      <c r="F73" s="2" t="s">
        <v>286</v>
      </c>
      <c r="G73" s="1">
        <v>2</v>
      </c>
      <c r="H73">
        <f t="shared" si="1"/>
        <v>10</v>
      </c>
    </row>
    <row r="74" spans="1:8" x14ac:dyDescent="0.25">
      <c r="A74" s="2" t="s">
        <v>7</v>
      </c>
      <c r="B74" s="2" t="s">
        <v>287</v>
      </c>
      <c r="C74" s="2" t="s">
        <v>288</v>
      </c>
      <c r="D74" s="2" t="s">
        <v>288</v>
      </c>
      <c r="E74" s="2" t="s">
        <v>7</v>
      </c>
      <c r="F74" s="2" t="s">
        <v>289</v>
      </c>
      <c r="G74" s="1">
        <v>2</v>
      </c>
      <c r="H74">
        <f t="shared" si="1"/>
        <v>10</v>
      </c>
    </row>
    <row r="75" spans="1:8" x14ac:dyDescent="0.25">
      <c r="A75" s="2" t="s">
        <v>7</v>
      </c>
      <c r="B75" s="2" t="s">
        <v>290</v>
      </c>
      <c r="C75" s="2" t="s">
        <v>291</v>
      </c>
      <c r="D75" s="2" t="s">
        <v>291</v>
      </c>
      <c r="E75" s="2" t="s">
        <v>292</v>
      </c>
      <c r="F75" s="2" t="s">
        <v>293</v>
      </c>
      <c r="G75" s="1">
        <v>2</v>
      </c>
      <c r="H75">
        <f t="shared" si="1"/>
        <v>10</v>
      </c>
    </row>
    <row r="76" spans="1:8" ht="30" x14ac:dyDescent="0.25">
      <c r="A76" s="2" t="s">
        <v>7</v>
      </c>
      <c r="B76" s="2" t="s">
        <v>294</v>
      </c>
      <c r="C76" s="2" t="s">
        <v>295</v>
      </c>
      <c r="D76" s="2" t="s">
        <v>295</v>
      </c>
      <c r="E76" s="2" t="s">
        <v>296</v>
      </c>
      <c r="F76" s="3" t="s">
        <v>297</v>
      </c>
      <c r="G76" s="1">
        <v>4</v>
      </c>
      <c r="H76">
        <f t="shared" si="1"/>
        <v>10</v>
      </c>
    </row>
    <row r="77" spans="1:8" x14ac:dyDescent="0.25">
      <c r="A77" s="1"/>
      <c r="B77" s="2" t="s">
        <v>298</v>
      </c>
      <c r="C77" s="2" t="s">
        <v>299</v>
      </c>
      <c r="D77" s="2" t="s">
        <v>299</v>
      </c>
      <c r="E77" s="2" t="s">
        <v>300</v>
      </c>
      <c r="F77" s="2" t="s">
        <v>301</v>
      </c>
      <c r="G77" s="1">
        <v>1</v>
      </c>
      <c r="H77">
        <f t="shared" si="1"/>
        <v>10</v>
      </c>
    </row>
    <row r="78" spans="1:8" x14ac:dyDescent="0.25">
      <c r="A78" s="1"/>
      <c r="B78" s="2" t="s">
        <v>302</v>
      </c>
      <c r="C78" s="2" t="s">
        <v>303</v>
      </c>
      <c r="D78" s="2" t="s">
        <v>303</v>
      </c>
      <c r="E78" s="2" t="s">
        <v>304</v>
      </c>
      <c r="F78" s="2" t="s">
        <v>305</v>
      </c>
      <c r="G78" s="1">
        <v>1</v>
      </c>
      <c r="H78">
        <f t="shared" si="1"/>
        <v>10</v>
      </c>
    </row>
    <row r="79" spans="1:8" x14ac:dyDescent="0.25">
      <c r="A79" s="1"/>
      <c r="B79" s="2" t="s">
        <v>306</v>
      </c>
      <c r="C79" s="2" t="s">
        <v>307</v>
      </c>
      <c r="D79" s="2" t="s">
        <v>307</v>
      </c>
      <c r="E79" s="2" t="s">
        <v>308</v>
      </c>
      <c r="F79" s="2" t="s">
        <v>309</v>
      </c>
      <c r="G79" s="1">
        <v>1</v>
      </c>
      <c r="H79">
        <f t="shared" si="1"/>
        <v>10</v>
      </c>
    </row>
    <row r="80" spans="1:8" x14ac:dyDescent="0.25">
      <c r="A80" s="2" t="s">
        <v>7</v>
      </c>
      <c r="B80" s="2" t="s">
        <v>310</v>
      </c>
      <c r="C80" s="2" t="s">
        <v>311</v>
      </c>
      <c r="D80" s="2" t="s">
        <v>311</v>
      </c>
      <c r="E80" s="2" t="s">
        <v>312</v>
      </c>
      <c r="F80" s="2" t="s">
        <v>313</v>
      </c>
      <c r="G80" s="1">
        <v>4</v>
      </c>
      <c r="H80">
        <f t="shared" si="1"/>
        <v>10</v>
      </c>
    </row>
    <row r="81" spans="1:8" x14ac:dyDescent="0.25">
      <c r="A81" s="2" t="s">
        <v>7</v>
      </c>
      <c r="B81" s="2" t="s">
        <v>314</v>
      </c>
      <c r="C81" s="2" t="s">
        <v>315</v>
      </c>
      <c r="D81" s="2" t="s">
        <v>315</v>
      </c>
      <c r="E81" s="2" t="s">
        <v>316</v>
      </c>
      <c r="F81" s="2" t="s">
        <v>317</v>
      </c>
      <c r="G81" s="1">
        <v>11</v>
      </c>
      <c r="H81">
        <f t="shared" si="1"/>
        <v>11</v>
      </c>
    </row>
    <row r="82" spans="1:8" x14ac:dyDescent="0.25">
      <c r="A82" s="2" t="s">
        <v>7</v>
      </c>
      <c r="B82" s="2" t="s">
        <v>318</v>
      </c>
      <c r="C82" s="2" t="s">
        <v>319</v>
      </c>
      <c r="D82" s="2" t="s">
        <v>320</v>
      </c>
      <c r="E82" s="2" t="s">
        <v>321</v>
      </c>
      <c r="F82" s="2" t="s">
        <v>322</v>
      </c>
      <c r="G82" s="1">
        <v>6</v>
      </c>
      <c r="H82">
        <f t="shared" si="1"/>
        <v>10</v>
      </c>
    </row>
    <row r="83" spans="1:8" x14ac:dyDescent="0.25">
      <c r="A83" s="1"/>
      <c r="B83" s="2" t="s">
        <v>323</v>
      </c>
      <c r="C83" s="2" t="s">
        <v>324</v>
      </c>
      <c r="D83" s="2" t="s">
        <v>324</v>
      </c>
      <c r="E83" s="2" t="s">
        <v>325</v>
      </c>
      <c r="F83" s="2" t="s">
        <v>326</v>
      </c>
      <c r="G83" s="1">
        <v>1</v>
      </c>
      <c r="H83">
        <f t="shared" si="1"/>
        <v>10</v>
      </c>
    </row>
    <row r="84" spans="1:8" x14ac:dyDescent="0.25">
      <c r="A84" s="2" t="s">
        <v>7</v>
      </c>
      <c r="B84" s="2" t="s">
        <v>327</v>
      </c>
      <c r="C84" s="2" t="s">
        <v>328</v>
      </c>
      <c r="D84" s="2" t="s">
        <v>328</v>
      </c>
      <c r="E84" s="2" t="s">
        <v>329</v>
      </c>
      <c r="F84" s="2" t="s">
        <v>330</v>
      </c>
      <c r="G84" s="1">
        <v>2</v>
      </c>
      <c r="H84">
        <f t="shared" si="1"/>
        <v>10</v>
      </c>
    </row>
    <row r="85" spans="1:8" x14ac:dyDescent="0.25">
      <c r="A85" s="2" t="s">
        <v>7</v>
      </c>
      <c r="B85" s="2" t="s">
        <v>331</v>
      </c>
      <c r="C85" s="2" t="s">
        <v>332</v>
      </c>
      <c r="D85" s="2" t="s">
        <v>332</v>
      </c>
      <c r="E85" s="2" t="s">
        <v>333</v>
      </c>
      <c r="F85" s="2" t="s">
        <v>334</v>
      </c>
      <c r="G85" s="1">
        <v>2</v>
      </c>
      <c r="H85">
        <f t="shared" si="1"/>
        <v>10</v>
      </c>
    </row>
    <row r="86" spans="1:8" x14ac:dyDescent="0.25">
      <c r="A86" s="1"/>
      <c r="B86" s="2" t="s">
        <v>335</v>
      </c>
      <c r="C86" s="2" t="s">
        <v>336</v>
      </c>
      <c r="D86" s="2" t="s">
        <v>336</v>
      </c>
      <c r="E86" s="1"/>
      <c r="F86" s="2" t="s">
        <v>337</v>
      </c>
      <c r="G86" s="1">
        <v>1</v>
      </c>
      <c r="H86">
        <f t="shared" si="1"/>
        <v>10</v>
      </c>
    </row>
    <row r="87" spans="1:8" x14ac:dyDescent="0.25">
      <c r="A87" s="1"/>
      <c r="B87" s="2" t="s">
        <v>338</v>
      </c>
      <c r="C87" s="2" t="s">
        <v>339</v>
      </c>
      <c r="D87" s="2" t="s">
        <v>339</v>
      </c>
      <c r="E87" s="2" t="s">
        <v>340</v>
      </c>
      <c r="F87" s="2" t="s">
        <v>341</v>
      </c>
      <c r="G87" s="1">
        <v>1</v>
      </c>
      <c r="H87">
        <f t="shared" si="1"/>
        <v>10</v>
      </c>
    </row>
    <row r="88" spans="1:8" x14ac:dyDescent="0.25">
      <c r="A88" s="1"/>
      <c r="B88" s="2" t="s">
        <v>342</v>
      </c>
      <c r="C88" s="2" t="s">
        <v>343</v>
      </c>
      <c r="D88" s="2" t="s">
        <v>343</v>
      </c>
      <c r="E88" s="1"/>
      <c r="F88" s="2" t="s">
        <v>344</v>
      </c>
      <c r="G88" s="1">
        <v>1</v>
      </c>
      <c r="H88">
        <f t="shared" si="1"/>
        <v>10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Cubesat_PDM</vt:lpstr>
      <vt:lpstr>Cubesat_PDM!Print_Titles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Holland</dc:creator>
  <cp:lastModifiedBy>Tom Holland</cp:lastModifiedBy>
  <dcterms:created xsi:type="dcterms:W3CDTF">2026-01-02T04:49:18Z</dcterms:created>
  <dcterms:modified xsi:type="dcterms:W3CDTF">2026-01-04T04:28:03Z</dcterms:modified>
</cp:coreProperties>
</file>