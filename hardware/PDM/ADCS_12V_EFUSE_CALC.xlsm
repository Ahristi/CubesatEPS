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ublic\Documents\Altium\EPS\"/>
    </mc:Choice>
  </mc:AlternateContent>
  <xr:revisionPtr revIDLastSave="0" documentId="8_{4BF9B8C0-F3D3-49B9-A8C4-01477AF49B6D}" xr6:coauthVersionLast="47" xr6:coauthVersionMax="47" xr10:uidLastSave="{00000000-0000-0000-0000-000000000000}"/>
  <bookViews>
    <workbookView xWindow="-19200" yWindow="0" windowWidth="19200" windowHeight="21000" xr2:uid="{00000000-000D-0000-FFFF-FFFF00000000}"/>
  </bookViews>
  <sheets>
    <sheet name="TPS1641x_Calculation Sheet" sheetId="1" r:id="rId1"/>
    <sheet name="Thermal Shutdown Limit Plot" sheetId="17" r:id="rId2"/>
    <sheet name="Res EIA Tables" sheetId="11" r:id="rId3"/>
    <sheet name="Cap Tables" sheetId="13" r:id="rId4"/>
  </sheets>
  <definedNames>
    <definedName name="_xlnm._FilterDatabase" localSheetId="0" hidden="1">'TPS1641x_Calculation Sheet'!#REF!</definedName>
    <definedName name="Cout">'TPS1641x_Calculation Sheet'!$D$7</definedName>
    <definedName name="GainIMON">'TPS1641x_Calculation Sheet'!$D$88</definedName>
    <definedName name="Icharge_req">'TPS1641x_Calculation Sheet'!$D$9</definedName>
    <definedName name="Iout">'TPS1641x_Calculation Sheet'!$D$8</definedName>
    <definedName name="R_1">'TPS1641x_Calculation Sheet'!$D$20</definedName>
    <definedName name="R_2">'TPS1641x_Calculation Sheet'!$D$23</definedName>
    <definedName name="Rdson">'TPS1641x_Calculation Sheet'!$D$75</definedName>
    <definedName name="Rlstart">'TPS1641x_Calculation Sheet'!$D$15</definedName>
    <definedName name="Tchg_dvdt">'TPS1641x_Calculation Sheet'!$D$58</definedName>
    <definedName name="V_ENF">'TPS1641x_Calculation Sheet'!$D$85</definedName>
    <definedName name="V_ENR">'TPS1641x_Calculation Sheet'!$D$84</definedName>
    <definedName name="V_OVPF">'TPS1641x_Calculation Sheet'!$D$87</definedName>
    <definedName name="V_OVPR">'TPS1641x_Calculation Sheet'!$D$86</definedName>
    <definedName name="VIN_nom">'TPS1641x_Calculation Sheet'!$D$6</definedName>
    <definedName name="Vovp">'TPS1641x_Calculation Sheet'!$D$16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3" i="1" l="1"/>
  <c r="E32" i="1" l="1"/>
  <c r="D29" i="1"/>
  <c r="B32" i="1" l="1"/>
  <c r="B31" i="1"/>
  <c r="B29" i="1"/>
  <c r="B28" i="1"/>
  <c r="D47" i="1" l="1"/>
  <c r="D39" i="1" l="1"/>
  <c r="F58" i="1" l="1"/>
  <c r="F40" i="1"/>
  <c r="F32" i="1"/>
  <c r="D55" i="1"/>
  <c r="F38" i="1"/>
  <c r="D62" i="1" l="1"/>
  <c r="G15" i="1"/>
  <c r="I38" i="1" l="1"/>
  <c r="M38" i="1"/>
  <c r="D69" i="1"/>
  <c r="D68" i="1"/>
  <c r="D35" i="1" l="1"/>
  <c r="B14" i="1"/>
  <c r="R45" i="1" l="1"/>
  <c r="D37" i="1" s="1"/>
  <c r="D21" i="1"/>
  <c r="O43" i="1" l="1"/>
  <c r="F23" i="1" l="1"/>
  <c r="P38" i="1"/>
  <c r="J35" i="1"/>
  <c r="K28" i="1"/>
  <c r="K30" i="1" s="1"/>
  <c r="R30" i="1"/>
  <c r="F25" i="1" l="1"/>
  <c r="F24" i="1"/>
  <c r="D40" i="1"/>
  <c r="K20" i="1"/>
  <c r="K22" i="1" s="1"/>
  <c r="K19" i="1"/>
  <c r="G47" i="1" l="1"/>
  <c r="J37" i="1"/>
  <c r="D38" i="1"/>
  <c r="D43" i="1" s="1"/>
  <c r="G23" i="1"/>
  <c r="D23" i="1" s="1"/>
  <c r="J36" i="1" l="1"/>
  <c r="D26" i="1"/>
  <c r="D25" i="1"/>
  <c r="O37" i="1" s="1"/>
  <c r="D24" i="1"/>
  <c r="O36" i="1" s="1"/>
  <c r="O45" i="1"/>
  <c r="O41" i="1"/>
  <c r="G31" i="1" l="1"/>
  <c r="D31" i="1" s="1"/>
  <c r="D32" i="1" s="1"/>
  <c r="J38" i="1" l="1"/>
  <c r="B74" i="13"/>
  <c r="B73" i="13"/>
  <c r="B71" i="13"/>
  <c r="B70" i="13"/>
  <c r="B69" i="13" s="1"/>
  <c r="B67" i="13"/>
  <c r="B66" i="13" s="1"/>
  <c r="B65" i="13" s="1"/>
  <c r="B63" i="13"/>
  <c r="B62" i="13" s="1"/>
  <c r="B61" i="13" s="1"/>
  <c r="B59" i="13"/>
  <c r="B58" i="13" s="1"/>
  <c r="B57" i="13" s="1"/>
  <c r="B55" i="13"/>
  <c r="B54" i="13"/>
  <c r="B53" i="13" s="1"/>
  <c r="B51" i="13"/>
  <c r="B50" i="13"/>
  <c r="B49" i="13" s="1"/>
  <c r="B47" i="13"/>
  <c r="B46" i="13"/>
  <c r="B45" i="13" s="1"/>
  <c r="B43" i="13"/>
  <c r="B42" i="13" s="1"/>
  <c r="B41" i="13" s="1"/>
  <c r="B39" i="13"/>
  <c r="B35" i="13"/>
  <c r="B34" i="13" s="1"/>
  <c r="B33" i="13" s="1"/>
  <c r="B31" i="13"/>
  <c r="B30" i="13"/>
  <c r="B29" i="13"/>
  <c r="C74" i="13"/>
  <c r="C73" i="13" s="1"/>
  <c r="C71" i="13"/>
  <c r="C70" i="13" s="1"/>
  <c r="C69" i="13" s="1"/>
  <c r="C67" i="13"/>
  <c r="C66" i="13"/>
  <c r="C65" i="13" s="1"/>
  <c r="C63" i="13"/>
  <c r="C62" i="13"/>
  <c r="C61" i="13" s="1"/>
  <c r="C59" i="13"/>
  <c r="C58" i="13" s="1"/>
  <c r="C57" i="13" s="1"/>
  <c r="C55" i="13"/>
  <c r="C54" i="13" s="1"/>
  <c r="C53" i="13" s="1"/>
  <c r="C51" i="13"/>
  <c r="C50" i="13" s="1"/>
  <c r="C49" i="13" s="1"/>
  <c r="C47" i="13"/>
  <c r="C46" i="13"/>
  <c r="C45" i="13" s="1"/>
  <c r="C43" i="13"/>
  <c r="C42" i="13"/>
  <c r="C41" i="13" s="1"/>
  <c r="C39" i="13"/>
  <c r="C38" i="13" s="1"/>
  <c r="C37" i="13" s="1"/>
  <c r="C35" i="13"/>
  <c r="C34" i="13" s="1"/>
  <c r="C33" i="13" s="1"/>
  <c r="C31" i="13"/>
  <c r="C30" i="13" s="1"/>
  <c r="C29" i="13" s="1"/>
  <c r="C27" i="13"/>
  <c r="C26" i="13"/>
  <c r="C25" i="13"/>
  <c r="C23" i="13"/>
  <c r="C22" i="13" s="1"/>
  <c r="C21" i="13" s="1"/>
  <c r="C18" i="13"/>
  <c r="C17" i="13" s="1"/>
  <c r="C19" i="13"/>
  <c r="B38" i="13" l="1"/>
  <c r="B37" i="13" s="1"/>
  <c r="G56" i="1"/>
  <c r="G48" i="1"/>
  <c r="J39" i="1" s="1"/>
  <c r="O38" i="1"/>
  <c r="D57" i="1" l="1"/>
  <c r="D61" i="1" s="1"/>
  <c r="D63" i="1" s="1"/>
  <c r="B18" i="17" s="1"/>
  <c r="D58" i="1"/>
  <c r="J40" i="1"/>
  <c r="D49" i="1"/>
  <c r="O47" i="1" s="1"/>
  <c r="D64" i="1" l="1"/>
  <c r="D65" i="1" s="1"/>
  <c r="C18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a0393740</author>
    <author>a0176617</author>
  </authors>
  <commentList>
    <comment ref="C20" authorId="0" shapeId="0" xr:uid="{00000000-0006-0000-0000-000006000000}">
      <text>
        <r>
          <rPr>
            <sz val="9"/>
            <color indexed="81"/>
            <rFont val="Tahoma"/>
            <family val="2"/>
          </rPr>
          <t>Higher value will limit the input current drawn from source</t>
        </r>
      </text>
    </comment>
    <comment ref="C82" authorId="1" shapeId="0" xr:uid="{8146EDFA-5F2A-4D0F-B267-493937E28A10}">
      <text>
        <r>
          <rPr>
            <b/>
            <sz val="8"/>
            <color indexed="81"/>
            <rFont val="Tahoma"/>
            <family val="2"/>
          </rPr>
          <t>Assumption:</t>
        </r>
        <r>
          <rPr>
            <sz val="8"/>
            <color indexed="81"/>
            <rFont val="Tahoma"/>
            <family val="2"/>
          </rPr>
          <t xml:space="preserve">
Depends on application PCB</t>
        </r>
      </text>
    </comment>
  </commentList>
</comments>
</file>

<file path=xl/sharedStrings.xml><?xml version="1.0" encoding="utf-8"?>
<sst xmlns="http://schemas.openxmlformats.org/spreadsheetml/2006/main" count="295" uniqueCount="205">
  <si>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</si>
  <si>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</si>
  <si>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</si>
  <si>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</si>
  <si>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</si>
  <si>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</si>
  <si>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</si>
  <si>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</si>
  <si>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nF</t>
  </si>
  <si>
    <t>Cout</t>
  </si>
  <si>
    <t>Load Capacitance</t>
  </si>
  <si>
    <t>uF</t>
  </si>
  <si>
    <t>kOhm</t>
  </si>
  <si>
    <t>TA(max)</t>
  </si>
  <si>
    <t>W</t>
  </si>
  <si>
    <t>Constants Cells</t>
  </si>
  <si>
    <t>Input/SelectCells</t>
  </si>
  <si>
    <t>Calculation Cells</t>
  </si>
  <si>
    <t>pF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</si>
  <si>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</si>
  <si>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</si>
  <si>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</si>
  <si>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</si>
  <si>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</si>
  <si>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</si>
  <si>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</si>
  <si>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</si>
  <si>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</si>
  <si>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End Values Required for Processing</t>
  </si>
  <si>
    <t>µF</t>
  </si>
  <si>
    <t>Standard Capacitor Values</t>
  </si>
  <si>
    <t>mF</t>
  </si>
  <si>
    <t>Calculated, but can be over-ridden by user</t>
  </si>
  <si>
    <t>Title of Graph</t>
  </si>
  <si>
    <t xml:space="preserve">Power Dissipation </t>
  </si>
  <si>
    <t>Lable</t>
  </si>
  <si>
    <t xml:space="preserve">X-Axis </t>
  </si>
  <si>
    <t>Y-Axis</t>
  </si>
  <si>
    <t>Pd (W)</t>
  </si>
  <si>
    <t>Tstart (ms)</t>
  </si>
  <si>
    <t>Thermal Shutdown Time (ms) Vs. Power Dissipation (W)</t>
  </si>
  <si>
    <t>Table - 1: Device Comparison Table</t>
  </si>
  <si>
    <t>Value</t>
  </si>
  <si>
    <t>Recommended</t>
  </si>
  <si>
    <t>Error Cells, Must be Fixed</t>
  </si>
  <si>
    <t xml:space="preserve">Max Ambient Temperature </t>
  </si>
  <si>
    <t>degC</t>
  </si>
  <si>
    <t>Auto-Retry</t>
  </si>
  <si>
    <t>Device Selection</t>
  </si>
  <si>
    <t>VIN (nom)</t>
  </si>
  <si>
    <t>Nominal operating input voltage</t>
  </si>
  <si>
    <t>Typical</t>
  </si>
  <si>
    <t>Units</t>
  </si>
  <si>
    <t>TPS16410</t>
  </si>
  <si>
    <t>TPS16411</t>
  </si>
  <si>
    <t>TPS16412</t>
  </si>
  <si>
    <t>PLIM</t>
  </si>
  <si>
    <t>ILIM</t>
  </si>
  <si>
    <t>Latch-Off</t>
  </si>
  <si>
    <r>
      <t>V</t>
    </r>
    <r>
      <rPr>
        <vertAlign val="subscript"/>
        <sz val="11"/>
        <color theme="1"/>
        <rFont val="Calibri"/>
        <family val="2"/>
        <scheme val="minor"/>
      </rPr>
      <t>OVP</t>
    </r>
  </si>
  <si>
    <t xml:space="preserve">OV set point calculations </t>
  </si>
  <si>
    <t>IOCP</t>
  </si>
  <si>
    <t>Input overvoltage cut-off threshold</t>
  </si>
  <si>
    <t>TPS1641x Design Calculation Tool</t>
  </si>
  <si>
    <t>Calculated value of Resistor at OV pin</t>
  </si>
  <si>
    <t>OV_final_rising</t>
  </si>
  <si>
    <t>OV threshold (VIN rising)</t>
  </si>
  <si>
    <t>OV_final_falling</t>
  </si>
  <si>
    <t>Overvoltage Threshold (VIN Falling)</t>
  </si>
  <si>
    <t>CDLY_cal</t>
  </si>
  <si>
    <t>Calculations for CDLY</t>
  </si>
  <si>
    <t>CDLY_sel</t>
  </si>
  <si>
    <r>
      <t>t</t>
    </r>
    <r>
      <rPr>
        <b/>
        <vertAlign val="subscript"/>
        <sz val="14"/>
        <color theme="1"/>
        <rFont val="Calibri"/>
        <family val="2"/>
        <scheme val="minor"/>
      </rPr>
      <t>DLY</t>
    </r>
    <r>
      <rPr>
        <b/>
        <sz val="14"/>
        <color theme="1"/>
        <rFont val="Calibri"/>
        <family val="2"/>
        <scheme val="minor"/>
      </rPr>
      <t>_final</t>
    </r>
  </si>
  <si>
    <t>kohms</t>
  </si>
  <si>
    <t>Calculations for IOCP Resistor</t>
  </si>
  <si>
    <t>IOCP_final</t>
  </si>
  <si>
    <t>Final OCP set Point</t>
  </si>
  <si>
    <t>TPS16413</t>
  </si>
  <si>
    <t>Upper OV Threshold</t>
  </si>
  <si>
    <t>Lower OV Threshold</t>
  </si>
  <si>
    <t>Delay Time</t>
  </si>
  <si>
    <t>IMON voltage</t>
  </si>
  <si>
    <t>ILOAD</t>
  </si>
  <si>
    <t>Load current through the power path</t>
  </si>
  <si>
    <t>mV</t>
  </si>
  <si>
    <t>ISCP</t>
  </si>
  <si>
    <t>I-fast_trip</t>
  </si>
  <si>
    <t>Calculations for SoftStart control (external cap on dVdt pin)</t>
  </si>
  <si>
    <t>I_dVdt</t>
  </si>
  <si>
    <t>Internal current charging capacitor on dVdt</t>
  </si>
  <si>
    <t>Gain_dVdt</t>
  </si>
  <si>
    <t>Internal Gain for dVdt Control</t>
  </si>
  <si>
    <t>V/V</t>
  </si>
  <si>
    <t>Icharge_req</t>
  </si>
  <si>
    <t>Charging (inrush) current desired in the system</t>
  </si>
  <si>
    <t>Pd_Cout_startup</t>
  </si>
  <si>
    <t>Total Power dissipation at Start-up</t>
  </si>
  <si>
    <t>Max power dissipation allowed for glitch-free startup for the programmed startup time (20% margin)</t>
  </si>
  <si>
    <t>Thermal Shutdown time (ms)</t>
  </si>
  <si>
    <t xml:space="preserve"> Power Dissipation (W)</t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</si>
  <si>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125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</si>
  <si>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85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</si>
  <si>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25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</si>
  <si>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r>
      <t xml:space="preserve"> T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 xml:space="preserve"> = -40</t>
    </r>
    <r>
      <rPr>
        <b/>
        <vertAlign val="superscript"/>
        <sz val="10"/>
        <rFont val="Arial"/>
        <family val="2"/>
      </rPr>
      <t xml:space="preserve"> </t>
    </r>
    <r>
      <rPr>
        <b/>
        <sz val="10"/>
        <rFont val="Arial"/>
        <family val="2"/>
      </rPr>
      <t>C</t>
    </r>
  </si>
  <si>
    <t>Thermal Shutdown Time Vs. Power Dissipation</t>
  </si>
  <si>
    <t xml:space="preserve">Current monitoring voltage at the IOCP/IMON pin for above load current </t>
  </si>
  <si>
    <t>Calculations for I-FASTTRIP and ISCP thresholds</t>
  </si>
  <si>
    <t xml:space="preserve">The external capacitor connecetd across dVdT pin </t>
  </si>
  <si>
    <t>CdVdT</t>
  </si>
  <si>
    <t>C_dvdt_calc</t>
  </si>
  <si>
    <t>Power dissipation due to COUT at start-up</t>
  </si>
  <si>
    <t>Internal FET Parameters</t>
  </si>
  <si>
    <t>VDSS (max)</t>
  </si>
  <si>
    <t>FET drain-source voltage rating (maximum)</t>
  </si>
  <si>
    <t>ID(max)</t>
  </si>
  <si>
    <t>Rds(on)</t>
  </si>
  <si>
    <t>FET maximum Rds(on) at 25degC</t>
  </si>
  <si>
    <t>Rds(on)_max</t>
  </si>
  <si>
    <t>FET maximum Rds(on) at 125degC</t>
  </si>
  <si>
    <t>Thermal Parameters</t>
  </si>
  <si>
    <t>Tj(max)</t>
  </si>
  <si>
    <r>
      <t></t>
    </r>
    <r>
      <rPr>
        <sz val="11"/>
        <color theme="1"/>
        <rFont val="Calibri"/>
        <family val="2"/>
        <scheme val="minor"/>
      </rPr>
      <t>C</t>
    </r>
  </si>
  <si>
    <t>Junction to case (top) Thermal Resistance</t>
  </si>
  <si>
    <r>
      <t></t>
    </r>
    <r>
      <rPr>
        <sz val="11"/>
        <color theme="1"/>
        <rFont val="Calibri"/>
        <family val="2"/>
        <scheme val="minor"/>
      </rPr>
      <t>C/W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</si>
  <si>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JA</t>
    </r>
  </si>
  <si>
    <t>Junction to ambient thermal resistance</t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</si>
  <si>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JCbot</t>
    </r>
  </si>
  <si>
    <t xml:space="preserve">Junction-to-case(bottom) thermal resistance </t>
  </si>
  <si>
    <t>Internal References</t>
  </si>
  <si>
    <t>Internal Overvoltage reference (Rising)</t>
  </si>
  <si>
    <t>GainIMON</t>
  </si>
  <si>
    <t>Current monitor gain</t>
  </si>
  <si>
    <t>uA/A</t>
  </si>
  <si>
    <t>Device maximum junction temperature</t>
  </si>
  <si>
    <t>Steady state voltage drop and power dissipation</t>
  </si>
  <si>
    <t>Pd_ss</t>
  </si>
  <si>
    <t>V_Drop</t>
  </si>
  <si>
    <t>mW</t>
  </si>
  <si>
    <t xml:space="preserve">Refer Table-1 and select device based on current or power limiting requirement and fault behavior (auto-retry or latchoff) </t>
  </si>
  <si>
    <t>FET drain-source continous current rating (maximum)</t>
  </si>
  <si>
    <r>
      <t>m</t>
    </r>
    <r>
      <rPr>
        <sz val="11"/>
        <color theme="1"/>
        <rFont val="Calibri"/>
        <family val="2"/>
      </rPr>
      <t>Ω</t>
    </r>
  </si>
  <si>
    <t>V_ENR</t>
  </si>
  <si>
    <t>Enable rising threshold</t>
  </si>
  <si>
    <t xml:space="preserve">Enable falling threshold </t>
  </si>
  <si>
    <t>V_ENF</t>
  </si>
  <si>
    <t>Internal Overvoltage reference (Falling)</t>
  </si>
  <si>
    <t>V_OVPR</t>
  </si>
  <si>
    <t>V_OVPF</t>
  </si>
  <si>
    <t>Iout</t>
  </si>
  <si>
    <t>Maximum load current</t>
  </si>
  <si>
    <t>Power dissipation across the device in steady state at 25degC</t>
  </si>
  <si>
    <t>Voltage drop across the device in steady state at 25degC</t>
  </si>
  <si>
    <t>Required blanking time to allow transient load</t>
  </si>
  <si>
    <t>R1: Pullup at the OV Pin</t>
  </si>
  <si>
    <t>Select a value &gt; 100K to keep I_R12 low</t>
  </si>
  <si>
    <t>R2_cal</t>
  </si>
  <si>
    <t>I_R12</t>
  </si>
  <si>
    <t>Current in R1, R2 Branch</t>
  </si>
  <si>
    <t xml:space="preserve">SELECT A ILIMIT RESISTOR WITH THE CLOSEST AVAILABLE VALUE </t>
  </si>
  <si>
    <t>SELECT THE VALUE OF RESISTORS AS CLOSEST AVAILABLE VALUE OF R_2</t>
  </si>
  <si>
    <t>R2</t>
  </si>
  <si>
    <t>Select the closest possible value as R2_cal</t>
  </si>
  <si>
    <t>Power limit threshold for active power limiting</t>
  </si>
  <si>
    <t xml:space="preserve">Current limit threshold for active current limiting </t>
  </si>
  <si>
    <t>Overcurrent threshold (above IOCP, device goes into power limiting without PDLY delay)</t>
  </si>
  <si>
    <t>Overcurrent threshold (above IOCP, device goes into current limiting without IDLY delay)</t>
  </si>
  <si>
    <t>Select the closest available value</t>
  </si>
  <si>
    <t>Calculated resistor value</t>
  </si>
  <si>
    <t>Final Set Point</t>
  </si>
  <si>
    <t>Calculated value of capacitor at IDLY/PDLY pin</t>
  </si>
  <si>
    <t>Time duration for which load transients are allowed</t>
  </si>
  <si>
    <t>Capacitor value selected at IDLY/PDLY pin</t>
  </si>
  <si>
    <t>RIOCP_Cal</t>
  </si>
  <si>
    <t>Calculated IOCP resistor</t>
  </si>
  <si>
    <t>SELECT A ILIMIT RESISTOR WITH THE CLOSEST AVAILABLE VALUE OF RIOCP_Cal</t>
  </si>
  <si>
    <t>RIOCP</t>
  </si>
  <si>
    <r>
      <t>Select the closest available value of R</t>
    </r>
    <r>
      <rPr>
        <vertAlign val="subscript"/>
        <sz val="11"/>
        <color theme="1"/>
        <rFont val="Calibri"/>
        <family val="2"/>
        <scheme val="minor"/>
      </rPr>
      <t>IOCP</t>
    </r>
    <r>
      <rPr>
        <sz val="11"/>
        <color theme="1"/>
        <rFont val="Calibri"/>
        <family val="2"/>
        <scheme val="minor"/>
      </rPr>
      <t>_cal</t>
    </r>
  </si>
  <si>
    <t>Short Circuit Current threshold (fixed internally)</t>
  </si>
  <si>
    <t xml:space="preserve">Fast-Trip Current threshold </t>
  </si>
  <si>
    <t>Fast-Trip Current Threshold</t>
  </si>
  <si>
    <t>Short Circuit Current threshold</t>
  </si>
  <si>
    <t>OCP Current Threshold</t>
  </si>
  <si>
    <t>CDLY</t>
  </si>
  <si>
    <t>Calculated value of capacitor at dVdT pin for required inrush current</t>
  </si>
  <si>
    <t>Icharge</t>
  </si>
  <si>
    <t>Charging Current as per dVdT setting</t>
  </si>
  <si>
    <t>Pd_Rlstart</t>
  </si>
  <si>
    <t>Power dissipation due to load resistance at start-up</t>
  </si>
  <si>
    <t>Pd_startup</t>
  </si>
  <si>
    <t>Total power dissipation at start-up</t>
  </si>
  <si>
    <t>Rlstart</t>
  </si>
  <si>
    <t>Load at start-up (Enter an equivalent resistor value)</t>
  </si>
  <si>
    <t>Ohm</t>
  </si>
  <si>
    <t>Tchg_dVdT</t>
  </si>
  <si>
    <t xml:space="preserve">Charging time </t>
  </si>
  <si>
    <t>DESIGN SUMMARY</t>
  </si>
  <si>
    <t>R1</t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</si>
  <si>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JC(top)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</si>
  <si>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JB</t>
    </r>
  </si>
  <si>
    <t>Junction to board thermal resistance</t>
  </si>
  <si>
    <r>
      <t xml:space="preserve">Will the system have glitch-free startup?
</t>
    </r>
    <r>
      <rPr>
        <b/>
        <sz val="11"/>
        <color rgb="FFFF0000"/>
        <rFont val="Calibri"/>
        <family val="2"/>
        <scheme val="minor"/>
      </rPr>
      <t>Look at Thermal Shutdown Limit Plot Tab</t>
    </r>
  </si>
  <si>
    <t>TPS16414</t>
  </si>
  <si>
    <t>TPS16415</t>
  </si>
  <si>
    <t>TPS16416</t>
  </si>
  <si>
    <t>TPS16417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</si>
</sst>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0.000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i/>
      <sz val="16"/>
      <name val="Calibri"/>
      <family val="2"/>
      <scheme val="minor"/>
    </font>
    <font>
      <sz val="10.5"/>
      <color rgb="FFFF00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.5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6"/>
      <color rgb="FF0000FF"/>
      <name val="Arial"/>
      <family val="2"/>
    </font>
    <font>
      <b/>
      <sz val="16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name val="Calibri"/>
      <family val="2"/>
      <scheme val="minor"/>
    </font>
    <font>
      <sz val="11"/>
      <color theme="1"/>
      <name val="Calibri"/>
      <family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sz val="14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0"/>
      <name val="Symbol"/>
      <family val="1"/>
      <charset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2"/>
      <color theme="0"/>
      <name val="Arial"/>
      <family val="2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DAE7F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/>
      <right/>
      <top style="medium">
        <color rgb="FF33CC33"/>
      </top>
      <bottom/>
      <diagonal/>
    </border>
    <border>
      <left/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/>
      <top/>
      <bottom/>
      <diagonal/>
    </border>
    <border>
      <left/>
      <right style="medium">
        <color rgb="FF33CC33"/>
      </right>
      <top/>
      <bottom/>
      <diagonal/>
    </border>
    <border>
      <left style="medium">
        <color rgb="FF33CC33"/>
      </left>
      <right/>
      <top/>
      <bottom style="medium">
        <color rgb="FF33CC33"/>
      </bottom>
      <diagonal/>
    </border>
    <border>
      <left/>
      <right/>
      <top/>
      <bottom style="medium">
        <color rgb="FF33CC33"/>
      </bottom>
      <diagonal/>
    </border>
    <border>
      <left/>
      <right style="medium">
        <color rgb="FF33CC33"/>
      </right>
      <top/>
      <bottom style="medium">
        <color rgb="FF33CC33"/>
      </bottom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23" fillId="21" borderId="0" applyNumberFormat="0" applyBorder="0" applyAlignment="0" applyProtection="0"/>
  </cellStyleXfs>
  <cellXfs count="251">
    <xf numFmtId="0" fontId="0" fillId="0" borderId="0" xfId="0"/>
    <xf numFmtId="2" fontId="0" fillId="0" borderId="0" xfId="0" applyNumberFormat="1"/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10" borderId="1" xfId="0" applyNumberFormat="1" applyFill="1" applyBorder="1" applyAlignment="1">
      <alignment horizontal="center"/>
    </xf>
    <xf numFmtId="1" fontId="0" fillId="11" borderId="1" xfId="0" applyNumberFormat="1" applyFill="1" applyBorder="1" applyAlignment="1">
      <alignment horizontal="center"/>
    </xf>
    <xf numFmtId="1" fontId="0" fillId="12" borderId="1" xfId="0" applyNumberFormat="1" applyFill="1" applyBorder="1" applyAlignment="1">
      <alignment horizontal="center"/>
    </xf>
    <xf numFmtId="1" fontId="0" fillId="14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0" fontId="8" fillId="9" borderId="6" xfId="0" applyFont="1" applyFill="1" applyBorder="1" applyAlignment="1">
      <alignment horizontal="center" vertical="center" wrapText="1"/>
    </xf>
    <xf numFmtId="164" fontId="9" fillId="0" borderId="6" xfId="0" applyNumberFormat="1" applyFont="1" applyBorder="1" applyAlignment="1">
      <alignment vertical="center" wrapText="1"/>
    </xf>
    <xf numFmtId="0" fontId="11" fillId="0" borderId="0" xfId="2" applyFont="1" applyAlignment="1"/>
    <xf numFmtId="164" fontId="0" fillId="0" borderId="0" xfId="0" applyNumberFormat="1"/>
    <xf numFmtId="2" fontId="12" fillId="5" borderId="1" xfId="0" applyNumberFormat="1" applyFont="1" applyFill="1" applyBorder="1" applyAlignment="1">
      <alignment horizontal="right" vertical="center" indent="1"/>
    </xf>
    <xf numFmtId="2" fontId="16" fillId="5" borderId="1" xfId="0" applyNumberFormat="1" applyFont="1" applyFill="1" applyBorder="1" applyAlignment="1">
      <alignment horizontal="right" vertical="center" indent="1"/>
    </xf>
    <xf numFmtId="0" fontId="17" fillId="0" borderId="5" xfId="0" applyFont="1" applyBorder="1" applyAlignment="1" applyProtection="1">
      <alignment horizontal="left" indent="1"/>
      <protection locked="0"/>
    </xf>
    <xf numFmtId="0" fontId="0" fillId="19" borderId="0" xfId="0" applyFill="1"/>
    <xf numFmtId="0" fontId="0" fillId="0" borderId="5" xfId="0" applyBorder="1"/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center"/>
    </xf>
    <xf numFmtId="0" fontId="0" fillId="20" borderId="0" xfId="0" applyFill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/>
    </xf>
    <xf numFmtId="0" fontId="20" fillId="0" borderId="0" xfId="0" applyFont="1"/>
    <xf numFmtId="0" fontId="22" fillId="0" borderId="0" xfId="0" applyFont="1"/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0" fontId="17" fillId="0" borderId="0" xfId="0" applyFont="1" applyAlignment="1" applyProtection="1">
      <alignment horizontal="left"/>
      <protection locked="0"/>
    </xf>
    <xf numFmtId="0" fontId="17" fillId="0" borderId="0" xfId="0" applyFont="1" applyAlignment="1" applyProtection="1">
      <alignment horizontal="center"/>
      <protection locked="0"/>
    </xf>
    <xf numFmtId="2" fontId="16" fillId="5" borderId="1" xfId="0" applyNumberFormat="1" applyFont="1" applyFill="1" applyBorder="1" applyAlignment="1" applyProtection="1">
      <alignment horizontal="right" vertical="center" indent="1"/>
      <protection hidden="1"/>
    </xf>
    <xf numFmtId="2" fontId="12" fillId="5" borderId="1" xfId="0" applyNumberFormat="1" applyFont="1" applyFill="1" applyBorder="1" applyAlignment="1" applyProtection="1">
      <alignment horizontal="right" vertical="center" indent="1"/>
      <protection hidden="1"/>
    </xf>
    <xf numFmtId="49" fontId="25" fillId="17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2" fillId="5" borderId="1" xfId="0" applyNumberFormat="1" applyFont="1" applyFill="1" applyBorder="1" applyAlignment="1">
      <alignment horizontal="right" vertical="center" indent="1"/>
    </xf>
    <xf numFmtId="2" fontId="30" fillId="0" borderId="23" xfId="0" applyNumberFormat="1" applyFont="1" applyBorder="1" applyAlignment="1">
      <alignment horizontal="center"/>
    </xf>
    <xf numFmtId="2" fontId="30" fillId="0" borderId="29" xfId="0" applyNumberFormat="1" applyFont="1" applyBorder="1" applyAlignment="1">
      <alignment horizontal="center"/>
    </xf>
    <xf numFmtId="0" fontId="0" fillId="0" borderId="30" xfId="0" applyBorder="1" applyAlignment="1">
      <alignment horizontal="center"/>
    </xf>
    <xf numFmtId="2" fontId="30" fillId="0" borderId="26" xfId="0" applyNumberFormat="1" applyFont="1" applyBorder="1" applyAlignment="1">
      <alignment horizontal="center"/>
    </xf>
    <xf numFmtId="2" fontId="30" fillId="0" borderId="0" xfId="0" applyNumberFormat="1" applyFont="1" applyAlignment="1">
      <alignment horizontal="center"/>
    </xf>
    <xf numFmtId="0" fontId="0" fillId="0" borderId="28" xfId="0" applyBorder="1" applyAlignment="1">
      <alignment horizontal="center"/>
    </xf>
    <xf numFmtId="0" fontId="3" fillId="0" borderId="28" xfId="0" applyFont="1" applyBorder="1" applyAlignment="1" applyProtection="1">
      <alignment horizontal="center"/>
      <protection locked="0"/>
    </xf>
    <xf numFmtId="0" fontId="17" fillId="0" borderId="31" xfId="0" applyFont="1" applyBorder="1" applyAlignment="1" applyProtection="1">
      <alignment horizontal="center"/>
      <protection locked="0"/>
    </xf>
    <xf numFmtId="0" fontId="17" fillId="0" borderId="32" xfId="0" applyFont="1" applyBorder="1" applyAlignment="1" applyProtection="1">
      <alignment horizontal="center"/>
      <protection locked="0"/>
    </xf>
    <xf numFmtId="0" fontId="17" fillId="0" borderId="33" xfId="0" applyFont="1" applyBorder="1" applyAlignment="1" applyProtection="1">
      <alignment horizontal="center"/>
      <protection locked="0"/>
    </xf>
    <xf numFmtId="2" fontId="0" fillId="0" borderId="0" xfId="0" applyNumberFormat="1" applyAlignment="1">
      <alignment vertical="center"/>
    </xf>
    <xf numFmtId="164" fontId="12" fillId="26" borderId="1" xfId="0" applyNumberFormat="1" applyFont="1" applyFill="1" applyBorder="1" applyAlignment="1">
      <alignment horizontal="right" vertical="center"/>
    </xf>
    <xf numFmtId="2" fontId="12" fillId="26" borderId="1" xfId="0" applyNumberFormat="1" applyFont="1" applyFill="1" applyBorder="1" applyAlignment="1">
      <alignment horizontal="right" vertical="center"/>
    </xf>
    <xf numFmtId="2" fontId="39" fillId="5" borderId="1" xfId="0" applyNumberFormat="1" applyFont="1" applyFill="1" applyBorder="1" applyAlignment="1">
      <alignment horizontal="right" vertical="center" indent="1"/>
    </xf>
    <xf numFmtId="0" fontId="0" fillId="0" borderId="44" xfId="0" applyBorder="1" applyAlignment="1" applyProtection="1">
      <alignment vertical="center"/>
      <protection locked="0"/>
    </xf>
    <xf numFmtId="0" fontId="0" fillId="0" borderId="45" xfId="0" applyBorder="1" applyAlignment="1" applyProtection="1">
      <alignment vertical="center"/>
      <protection locked="0"/>
    </xf>
    <xf numFmtId="1" fontId="12" fillId="26" borderId="1" xfId="0" applyNumberFormat="1" applyFont="1" applyFill="1" applyBorder="1" applyAlignment="1">
      <alignment horizontal="right" vertical="center"/>
    </xf>
    <xf numFmtId="2" fontId="0" fillId="0" borderId="3" xfId="0" applyNumberFormat="1" applyBorder="1" applyAlignment="1" applyProtection="1">
      <alignment horizontal="right" vertical="center" indent="1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2" fontId="3" fillId="7" borderId="11" xfId="0" applyNumberFormat="1" applyFont="1" applyFill="1" applyBorder="1" applyAlignment="1" applyProtection="1">
      <alignment horizontal="left" vertical="center"/>
      <protection locked="0"/>
    </xf>
    <xf numFmtId="0" fontId="0" fillId="17" borderId="1" xfId="0" applyFill="1" applyBorder="1" applyAlignment="1" applyProtection="1">
      <alignment vertical="center" wrapText="1"/>
      <protection locked="0"/>
    </xf>
    <xf numFmtId="2" fontId="3" fillId="8" borderId="1" xfId="0" applyNumberFormat="1" applyFont="1" applyFill="1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2" fontId="3" fillId="8" borderId="9" xfId="0" applyNumberFormat="1" applyFont="1" applyFill="1" applyBorder="1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23" fillId="21" borderId="12" xfId="3" applyBorder="1" applyAlignment="1" applyProtection="1">
      <alignment vertical="center"/>
      <protection locked="0"/>
    </xf>
    <xf numFmtId="0" fontId="0" fillId="16" borderId="10" xfId="0" applyFill="1" applyBorder="1" applyAlignment="1" applyProtection="1">
      <alignment vertical="center" wrapText="1"/>
      <protection locked="0"/>
    </xf>
    <xf numFmtId="2" fontId="0" fillId="0" borderId="10" xfId="0" applyNumberFormat="1" applyBorder="1" applyAlignment="1" applyProtection="1">
      <alignment horizontal="right" vertical="center" indent="1"/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1" fillId="22" borderId="1" xfId="0" applyFont="1" applyFill="1" applyBorder="1" applyAlignment="1" applyProtection="1">
      <alignment horizontal="center"/>
      <protection locked="0"/>
    </xf>
    <xf numFmtId="0" fontId="0" fillId="22" borderId="1" xfId="0" applyFill="1" applyBorder="1" applyAlignment="1" applyProtection="1">
      <alignment horizontal="center"/>
      <protection locked="0"/>
    </xf>
    <xf numFmtId="0" fontId="14" fillId="18" borderId="2" xfId="0" applyFont="1" applyFill="1" applyBorder="1" applyAlignment="1" applyProtection="1">
      <alignment horizontal="center" vertical="center"/>
      <protection locked="0"/>
    </xf>
    <xf numFmtId="0" fontId="14" fillId="18" borderId="3" xfId="0" applyFont="1" applyFill="1" applyBorder="1" applyAlignment="1" applyProtection="1">
      <alignment horizontal="center" vertical="center" wrapText="1"/>
      <protection locked="0"/>
    </xf>
    <xf numFmtId="2" fontId="14" fillId="18" borderId="3" xfId="0" applyNumberFormat="1" applyFont="1" applyFill="1" applyBorder="1" applyAlignment="1" applyProtection="1">
      <alignment horizontal="right" vertical="center" indent="1"/>
      <protection locked="0"/>
    </xf>
    <xf numFmtId="0" fontId="14" fillId="18" borderId="3" xfId="0" applyFont="1" applyFill="1" applyBorder="1" applyAlignment="1" applyProtection="1">
      <alignment horizontal="left" vertical="center"/>
      <protection locked="0"/>
    </xf>
    <xf numFmtId="0" fontId="14" fillId="18" borderId="4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17" borderId="11" xfId="0" applyFill="1" applyBorder="1" applyAlignment="1" applyProtection="1">
      <alignment vertical="center"/>
      <protection locked="0"/>
    </xf>
    <xf numFmtId="0" fontId="14" fillId="18" borderId="1" xfId="0" applyFont="1" applyFill="1" applyBorder="1" applyAlignment="1" applyProtection="1">
      <alignment horizontal="left" vertical="center"/>
      <protection locked="0"/>
    </xf>
    <xf numFmtId="0" fontId="14" fillId="18" borderId="7" xfId="0" applyFont="1" applyFill="1" applyBorder="1" applyAlignment="1" applyProtection="1">
      <alignment horizontal="center" vertical="center"/>
      <protection locked="0"/>
    </xf>
    <xf numFmtId="2" fontId="12" fillId="17" borderId="1" xfId="0" applyNumberFormat="1" applyFont="1" applyFill="1" applyBorder="1" applyAlignment="1" applyProtection="1">
      <alignment horizontal="right" vertical="center" indent="1"/>
      <protection locked="0"/>
    </xf>
    <xf numFmtId="0" fontId="0" fillId="15" borderId="1" xfId="0" applyFill="1" applyBorder="1" applyAlignment="1" applyProtection="1">
      <alignment vertical="center"/>
      <protection locked="0"/>
    </xf>
    <xf numFmtId="165" fontId="6" fillId="15" borderId="7" xfId="1" applyNumberFormat="1" applyFont="1" applyFill="1" applyBorder="1" applyAlignment="1" applyProtection="1">
      <alignment horizontal="center" vertical="center"/>
      <protection locked="0"/>
    </xf>
    <xf numFmtId="165" fontId="6" fillId="17" borderId="7" xfId="1" applyNumberFormat="1" applyFont="1" applyFill="1" applyBorder="1" applyAlignment="1" applyProtection="1">
      <alignment horizontal="center" vertical="center"/>
      <protection locked="0"/>
    </xf>
    <xf numFmtId="165" fontId="6" fillId="15" borderId="13" xfId="1" applyNumberFormat="1" applyFont="1" applyFill="1" applyBorder="1" applyAlignment="1" applyProtection="1">
      <alignment horizontal="center" vertical="center"/>
      <protection locked="0"/>
    </xf>
    <xf numFmtId="0" fontId="14" fillId="17" borderId="1" xfId="2" applyFont="1" applyFill="1" applyBorder="1" applyAlignment="1" applyProtection="1">
      <alignment vertical="center" wrapText="1"/>
      <protection locked="0"/>
    </xf>
    <xf numFmtId="1" fontId="12" fillId="17" borderId="1" xfId="0" applyNumberFormat="1" applyFont="1" applyFill="1" applyBorder="1" applyAlignment="1" applyProtection="1">
      <alignment horizontal="right" vertical="center" indent="1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41" xfId="0" applyBorder="1" applyAlignment="1" applyProtection="1">
      <alignment vertical="center"/>
      <protection locked="0"/>
    </xf>
    <xf numFmtId="0" fontId="0" fillId="0" borderId="42" xfId="0" applyBorder="1" applyAlignment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2" fontId="0" fillId="0" borderId="0" xfId="0" applyNumberFormat="1" applyAlignment="1" applyProtection="1">
      <alignment horizontal="right" vertical="center" indent="1"/>
      <protection locked="0"/>
    </xf>
    <xf numFmtId="0" fontId="0" fillId="0" borderId="0" xfId="0" applyAlignment="1" applyProtection="1">
      <alignment vertical="center"/>
      <protection locked="0" hidden="1"/>
    </xf>
    <xf numFmtId="0" fontId="0" fillId="0" borderId="44" xfId="0" applyBorder="1" applyAlignment="1" applyProtection="1">
      <alignment vertical="center"/>
      <protection locked="0" hidden="1"/>
    </xf>
    <xf numFmtId="0" fontId="0" fillId="0" borderId="45" xfId="0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19" fillId="18" borderId="1" xfId="0" applyFont="1" applyFill="1" applyBorder="1" applyAlignment="1" applyProtection="1">
      <alignment vertical="center"/>
      <protection locked="0" hidden="1"/>
    </xf>
    <xf numFmtId="0" fontId="13" fillId="18" borderId="1" xfId="0" applyFont="1" applyFill="1" applyBorder="1" applyAlignment="1" applyProtection="1">
      <alignment vertical="center" wrapText="1"/>
      <protection locked="0" hidden="1"/>
    </xf>
    <xf numFmtId="2" fontId="13" fillId="18" borderId="1" xfId="0" applyNumberFormat="1" applyFont="1" applyFill="1" applyBorder="1" applyAlignment="1" applyProtection="1">
      <alignment horizontal="right" vertical="center" wrapText="1" indent="1"/>
      <protection locked="0" hidden="1"/>
    </xf>
    <xf numFmtId="0" fontId="13" fillId="18" borderId="1" xfId="0" applyFont="1" applyFill="1" applyBorder="1" applyAlignment="1" applyProtection="1">
      <alignment horizontal="center" vertical="center" wrapText="1"/>
      <protection locked="0" hidden="1"/>
    </xf>
    <xf numFmtId="0" fontId="0" fillId="0" borderId="0" xfId="0" applyAlignment="1" applyProtection="1">
      <alignment horizontal="left" vertical="center"/>
      <protection locked="0" hidden="1"/>
    </xf>
    <xf numFmtId="0" fontId="0" fillId="17" borderId="1" xfId="0" applyFill="1" applyBorder="1" applyAlignment="1" applyProtection="1">
      <alignment vertical="center"/>
      <protection locked="0" hidden="1"/>
    </xf>
    <xf numFmtId="0" fontId="0" fillId="17" borderId="1" xfId="0" applyFill="1" applyBorder="1" applyAlignment="1" applyProtection="1">
      <alignment vertical="center" wrapText="1"/>
      <protection locked="0" hidden="1"/>
    </xf>
    <xf numFmtId="2" fontId="12" fillId="17" borderId="1" xfId="0" applyNumberFormat="1" applyFont="1" applyFill="1" applyBorder="1" applyAlignment="1" applyProtection="1">
      <alignment horizontal="right" vertical="center" indent="1"/>
      <protection locked="0" hidden="1"/>
    </xf>
    <xf numFmtId="0" fontId="0" fillId="15" borderId="1" xfId="0" applyFill="1" applyBorder="1" applyAlignment="1" applyProtection="1">
      <alignment vertical="center"/>
      <protection locked="0" hidden="1"/>
    </xf>
    <xf numFmtId="165" fontId="6" fillId="17" borderId="1" xfId="1" applyNumberFormat="1" applyFont="1" applyFill="1" applyBorder="1" applyAlignment="1" applyProtection="1">
      <alignment horizontal="center" vertical="center"/>
      <protection locked="0" hidden="1"/>
    </xf>
    <xf numFmtId="1" fontId="0" fillId="0" borderId="0" xfId="0" applyNumberFormat="1" applyAlignment="1" applyProtection="1">
      <alignment vertical="center"/>
      <protection locked="0" hidden="1"/>
    </xf>
    <xf numFmtId="0" fontId="15" fillId="0" borderId="0" xfId="0" applyFont="1" applyAlignment="1" applyProtection="1">
      <alignment vertical="center"/>
      <protection locked="0" hidden="1"/>
    </xf>
    <xf numFmtId="0" fontId="0" fillId="6" borderId="1" xfId="0" applyFill="1" applyBorder="1" applyAlignment="1" applyProtection="1">
      <alignment vertical="center"/>
      <protection locked="0" hidden="1"/>
    </xf>
    <xf numFmtId="0" fontId="0" fillId="6" borderId="1" xfId="0" applyFill="1" applyBorder="1" applyAlignment="1" applyProtection="1">
      <alignment vertical="center" wrapText="1"/>
      <protection locked="0" hidden="1"/>
    </xf>
    <xf numFmtId="0" fontId="14" fillId="15" borderId="1" xfId="0" applyFont="1" applyFill="1" applyBorder="1" applyAlignment="1" applyProtection="1">
      <alignment horizontal="left" vertical="center"/>
      <protection locked="0" hidden="1"/>
    </xf>
    <xf numFmtId="165" fontId="14" fillId="15" borderId="1" xfId="1" applyNumberFormat="1" applyFont="1" applyFill="1" applyBorder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vertical="center"/>
      <protection locked="0" hidden="1"/>
    </xf>
    <xf numFmtId="0" fontId="1" fillId="2" borderId="1" xfId="0" applyFont="1" applyFill="1" applyBorder="1" applyAlignment="1" applyProtection="1">
      <alignment vertical="center"/>
      <protection locked="0" hidden="1"/>
    </xf>
    <xf numFmtId="0" fontId="1" fillId="2" borderId="1" xfId="0" applyFont="1" applyFill="1" applyBorder="1" applyAlignment="1" applyProtection="1">
      <alignment vertical="center" wrapText="1"/>
      <protection locked="0" hidden="1"/>
    </xf>
    <xf numFmtId="164" fontId="12" fillId="5" borderId="1" xfId="0" applyNumberFormat="1" applyFont="1" applyFill="1" applyBorder="1" applyAlignment="1" applyProtection="1">
      <alignment horizontal="right" vertical="center" indent="1"/>
      <protection locked="0" hidden="1"/>
    </xf>
    <xf numFmtId="2" fontId="12" fillId="15" borderId="1" xfId="0" applyNumberFormat="1" applyFont="1" applyFill="1" applyBorder="1" applyAlignment="1" applyProtection="1">
      <alignment horizontal="right" vertical="center" indent="1"/>
      <protection locked="0" hidden="1"/>
    </xf>
    <xf numFmtId="165" fontId="12" fillId="15" borderId="1" xfId="1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right" vertical="center"/>
      <protection locked="0" hidden="1"/>
    </xf>
    <xf numFmtId="0" fontId="0" fillId="16" borderId="1" xfId="0" applyFill="1" applyBorder="1" applyAlignment="1" applyProtection="1">
      <alignment vertical="center"/>
      <protection locked="0" hidden="1"/>
    </xf>
    <xf numFmtId="0" fontId="0" fillId="16" borderId="1" xfId="0" applyFill="1" applyBorder="1" applyAlignment="1" applyProtection="1">
      <alignment vertical="center" wrapText="1"/>
      <protection locked="0" hidden="1"/>
    </xf>
    <xf numFmtId="2" fontId="12" fillId="16" borderId="1" xfId="0" applyNumberFormat="1" applyFont="1" applyFill="1" applyBorder="1" applyAlignment="1" applyProtection="1">
      <alignment horizontal="right" vertical="center" indent="1"/>
      <protection locked="0" hidden="1"/>
    </xf>
    <xf numFmtId="165" fontId="14" fillId="16" borderId="1" xfId="1" applyNumberFormat="1" applyFon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left" vertical="center"/>
      <protection locked="0" hidden="1"/>
    </xf>
    <xf numFmtId="0" fontId="0" fillId="0" borderId="45" xfId="0" applyBorder="1" applyAlignment="1" applyProtection="1">
      <alignment vertical="center"/>
      <protection locked="0" hidden="1"/>
    </xf>
    <xf numFmtId="0" fontId="15" fillId="4" borderId="1" xfId="0" applyFont="1" applyFill="1" applyBorder="1" applyAlignment="1" applyProtection="1">
      <alignment vertical="center"/>
      <protection locked="0" hidden="1"/>
    </xf>
    <xf numFmtId="0" fontId="15" fillId="4" borderId="1" xfId="0" applyFont="1" applyFill="1" applyBorder="1" applyAlignment="1" applyProtection="1">
      <alignment vertical="center" wrapText="1"/>
      <protection locked="0" hidden="1"/>
    </xf>
    <xf numFmtId="0" fontId="16" fillId="15" borderId="1" xfId="0" applyFont="1" applyFill="1" applyBorder="1" applyAlignment="1" applyProtection="1">
      <alignment horizontal="left" vertical="center"/>
      <protection locked="0" hidden="1"/>
    </xf>
    <xf numFmtId="0" fontId="15" fillId="0" borderId="0" xfId="0" applyFont="1" applyAlignment="1" applyProtection="1">
      <alignment horizontal="left" vertical="center"/>
      <protection locked="0" hidden="1"/>
    </xf>
    <xf numFmtId="0" fontId="26" fillId="0" borderId="0" xfId="0" applyFont="1" applyAlignment="1" applyProtection="1">
      <alignment vertical="center"/>
      <protection locked="0" hidden="1"/>
    </xf>
    <xf numFmtId="0" fontId="2" fillId="4" borderId="1" xfId="0" applyFont="1" applyFill="1" applyBorder="1" applyAlignment="1" applyProtection="1">
      <alignment vertical="center"/>
      <protection locked="0" hidden="1"/>
    </xf>
    <xf numFmtId="0" fontId="2" fillId="4" borderId="1" xfId="0" applyFont="1" applyFill="1" applyBorder="1" applyAlignment="1" applyProtection="1">
      <alignment vertical="center" wrapText="1"/>
      <protection locked="0" hidden="1"/>
    </xf>
    <xf numFmtId="0" fontId="12" fillId="15" borderId="1" xfId="0" applyFont="1" applyFill="1" applyBorder="1" applyAlignment="1" applyProtection="1">
      <alignment horizontal="left" vertical="center"/>
      <protection locked="0" hidden="1"/>
    </xf>
    <xf numFmtId="0" fontId="2" fillId="0" borderId="0" xfId="0" applyFont="1" applyAlignment="1" applyProtection="1">
      <alignment horizontal="left" vertical="center"/>
      <protection locked="0" hidden="1"/>
    </xf>
    <xf numFmtId="0" fontId="0" fillId="4" borderId="1" xfId="0" applyFill="1" applyBorder="1" applyAlignment="1" applyProtection="1">
      <alignment vertical="center"/>
      <protection locked="0" hidden="1"/>
    </xf>
    <xf numFmtId="0" fontId="0" fillId="4" borderId="1" xfId="0" applyFill="1" applyBorder="1" applyAlignment="1" applyProtection="1">
      <alignment vertical="center" wrapText="1"/>
      <protection locked="0" hidden="1"/>
    </xf>
    <xf numFmtId="2" fontId="13" fillId="18" borderId="1" xfId="0" applyNumberFormat="1" applyFont="1" applyFill="1" applyBorder="1" applyAlignment="1" applyProtection="1">
      <alignment horizontal="right" vertical="center" wrapText="1" indent="1"/>
      <protection locked="0"/>
    </xf>
    <xf numFmtId="0" fontId="13" fillId="18" borderId="1" xfId="0" applyFont="1" applyFill="1" applyBorder="1" applyAlignment="1" applyProtection="1">
      <alignment vertical="center" wrapText="1"/>
      <protection locked="0"/>
    </xf>
    <xf numFmtId="0" fontId="13" fillId="18" borderId="1" xfId="0" applyFont="1" applyFill="1" applyBorder="1" applyAlignment="1" applyProtection="1">
      <alignment horizontal="center" vertical="center" wrapText="1"/>
      <protection locked="0"/>
    </xf>
    <xf numFmtId="2" fontId="18" fillId="0" borderId="0" xfId="0" applyNumberFormat="1" applyFont="1" applyAlignment="1" applyProtection="1">
      <alignment vertical="center" wrapText="1"/>
      <protection locked="0"/>
    </xf>
    <xf numFmtId="1" fontId="0" fillId="0" borderId="0" xfId="0" applyNumberFormat="1" applyAlignment="1" applyProtection="1">
      <alignment vertical="center"/>
      <protection locked="0"/>
    </xf>
    <xf numFmtId="0" fontId="0" fillId="6" borderId="1" xfId="0" applyFill="1" applyBorder="1" applyAlignment="1" applyProtection="1">
      <alignment vertical="center"/>
      <protection locked="0"/>
    </xf>
    <xf numFmtId="0" fontId="0" fillId="6" borderId="1" xfId="0" applyFill="1" applyBorder="1" applyAlignment="1" applyProtection="1">
      <alignment vertical="center" wrapText="1"/>
      <protection locked="0"/>
    </xf>
    <xf numFmtId="165" fontId="6" fillId="15" borderId="1" xfId="1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vertical="center"/>
      <protection locked="0"/>
    </xf>
    <xf numFmtId="0" fontId="1" fillId="2" borderId="1" xfId="0" applyFont="1" applyFill="1" applyBorder="1" applyAlignment="1" applyProtection="1">
      <alignment vertical="center" wrapText="1"/>
      <protection locked="0"/>
    </xf>
    <xf numFmtId="2" fontId="2" fillId="2" borderId="1" xfId="0" applyNumberFormat="1" applyFont="1" applyFill="1" applyBorder="1" applyAlignment="1" applyProtection="1">
      <alignment horizontal="right" vertical="center" inden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vertical="center"/>
      <protection locked="0"/>
    </xf>
    <xf numFmtId="0" fontId="0" fillId="16" borderId="1" xfId="0" applyFill="1" applyBorder="1" applyAlignment="1" applyProtection="1">
      <alignment vertical="center" wrapText="1"/>
      <protection locked="0"/>
    </xf>
    <xf numFmtId="2" fontId="12" fillId="16" borderId="1" xfId="0" applyNumberFormat="1" applyFont="1" applyFill="1" applyBorder="1" applyAlignment="1" applyProtection="1">
      <alignment horizontal="right" vertical="center" indent="1"/>
      <protection locked="0"/>
    </xf>
    <xf numFmtId="165" fontId="6" fillId="17" borderId="1" xfId="1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left" vertical="center"/>
      <protection locked="0"/>
    </xf>
    <xf numFmtId="0" fontId="15" fillId="6" borderId="1" xfId="0" applyFont="1" applyFill="1" applyBorder="1" applyAlignment="1" applyProtection="1">
      <alignment vertical="center"/>
      <protection locked="0"/>
    </xf>
    <xf numFmtId="0" fontId="15" fillId="6" borderId="1" xfId="0" applyFont="1" applyFill="1" applyBorder="1" applyAlignment="1" applyProtection="1">
      <alignment vertical="center" wrapText="1"/>
      <protection locked="0"/>
    </xf>
    <xf numFmtId="0" fontId="15" fillId="15" borderId="1" xfId="0" applyFont="1" applyFill="1" applyBorder="1" applyAlignment="1" applyProtection="1">
      <alignment vertical="center"/>
      <protection locked="0"/>
    </xf>
    <xf numFmtId="165" fontId="0" fillId="17" borderId="1" xfId="1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 applyProtection="1">
      <alignment horizontal="right" vertical="center"/>
      <protection locked="0"/>
    </xf>
    <xf numFmtId="1" fontId="2" fillId="0" borderId="0" xfId="0" applyNumberFormat="1" applyFont="1" applyAlignment="1" applyProtection="1">
      <alignment horizontal="right" vertical="center"/>
      <protection locked="0"/>
    </xf>
    <xf numFmtId="0" fontId="1" fillId="0" borderId="44" xfId="0" applyFont="1" applyBorder="1" applyAlignment="1" applyProtection="1">
      <alignment horizontal="right" vertical="center"/>
      <protection locked="0" hidden="1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41" fillId="23" borderId="17" xfId="0" applyFont="1" applyFill="1" applyBorder="1" applyAlignment="1" applyProtection="1">
      <alignment horizontal="center"/>
      <protection locked="0"/>
    </xf>
    <xf numFmtId="0" fontId="41" fillId="23" borderId="34" xfId="0" applyFont="1" applyFill="1" applyBorder="1" applyAlignment="1" applyProtection="1">
      <alignment horizontal="left"/>
      <protection locked="0"/>
    </xf>
    <xf numFmtId="2" fontId="0" fillId="24" borderId="1" xfId="0" applyNumberFormat="1" applyFill="1" applyBorder="1" applyAlignment="1" applyProtection="1">
      <alignment horizontal="center"/>
      <protection locked="0"/>
    </xf>
    <xf numFmtId="0" fontId="3" fillId="24" borderId="7" xfId="0" applyFont="1" applyFill="1" applyBorder="1" applyProtection="1">
      <protection locked="0"/>
    </xf>
    <xf numFmtId="0" fontId="15" fillId="17" borderId="1" xfId="0" applyFont="1" applyFill="1" applyBorder="1" applyAlignment="1" applyProtection="1">
      <alignment vertical="center" wrapText="1"/>
      <protection locked="0"/>
    </xf>
    <xf numFmtId="0" fontId="33" fillId="17" borderId="1" xfId="0" applyFont="1" applyFill="1" applyBorder="1" applyAlignment="1" applyProtection="1">
      <alignment vertical="center" wrapText="1"/>
      <protection locked="0"/>
    </xf>
    <xf numFmtId="0" fontId="33" fillId="17" borderId="1" xfId="0" applyFont="1" applyFill="1" applyBorder="1" applyAlignment="1" applyProtection="1">
      <alignment horizontal="left" vertical="center" wrapText="1" indent="7"/>
      <protection locked="0"/>
    </xf>
    <xf numFmtId="2" fontId="43" fillId="0" borderId="0" xfId="0" applyNumberFormat="1" applyFont="1" applyAlignment="1" applyProtection="1">
      <alignment horizontal="right" vertical="center"/>
      <protection locked="0"/>
    </xf>
    <xf numFmtId="0" fontId="0" fillId="18" borderId="1" xfId="0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0" fillId="4" borderId="1" xfId="0" applyFill="1" applyBorder="1" applyAlignment="1" applyProtection="1">
      <alignment vertical="center"/>
      <protection locked="0"/>
    </xf>
    <xf numFmtId="2" fontId="4" fillId="0" borderId="1" xfId="0" applyNumberFormat="1" applyFont="1" applyBorder="1" applyAlignment="1" applyProtection="1">
      <alignment horizontal="left" vertical="center"/>
      <protection locked="0"/>
    </xf>
    <xf numFmtId="0" fontId="14" fillId="15" borderId="1" xfId="0" applyFont="1" applyFill="1" applyBorder="1" applyAlignment="1" applyProtection="1">
      <alignment horizontal="left" vertical="center"/>
      <protection locked="0"/>
    </xf>
    <xf numFmtId="165" fontId="14" fillId="17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center"/>
      <protection locked="0"/>
    </xf>
    <xf numFmtId="2" fontId="15" fillId="0" borderId="0" xfId="0" applyNumberFormat="1" applyFont="1" applyAlignment="1" applyProtection="1">
      <alignment vertical="center"/>
      <protection locked="0"/>
    </xf>
    <xf numFmtId="0" fontId="15" fillId="4" borderId="1" xfId="0" applyFont="1" applyFill="1" applyBorder="1" applyAlignment="1" applyProtection="1">
      <alignment vertical="center"/>
      <protection locked="0"/>
    </xf>
    <xf numFmtId="0" fontId="15" fillId="4" borderId="1" xfId="0" applyFont="1" applyFill="1" applyBorder="1" applyAlignment="1" applyProtection="1">
      <alignment vertical="center" wrapText="1"/>
      <protection locked="0"/>
    </xf>
    <xf numFmtId="1" fontId="0" fillId="0" borderId="0" xfId="0" applyNumberFormat="1" applyAlignment="1" applyProtection="1">
      <alignment horizontal="right" vertical="center"/>
      <protection locked="0"/>
    </xf>
    <xf numFmtId="0" fontId="0" fillId="0" borderId="46" xfId="0" applyBorder="1" applyAlignment="1" applyProtection="1">
      <alignment vertical="center"/>
      <protection locked="0" hidden="1"/>
    </xf>
    <xf numFmtId="0" fontId="15" fillId="0" borderId="47" xfId="0" applyFont="1" applyBorder="1" applyAlignment="1" applyProtection="1">
      <alignment vertical="center"/>
      <protection locked="0"/>
    </xf>
    <xf numFmtId="0" fontId="15" fillId="0" borderId="48" xfId="0" applyFont="1" applyBorder="1" applyAlignment="1" applyProtection="1">
      <alignment vertical="center"/>
      <protection locked="0"/>
    </xf>
    <xf numFmtId="0" fontId="28" fillId="25" borderId="1" xfId="0" applyFont="1" applyFill="1" applyBorder="1" applyAlignment="1" applyProtection="1">
      <alignment horizontal="center" vertical="center"/>
      <protection locked="0"/>
    </xf>
    <xf numFmtId="0" fontId="28" fillId="25" borderId="1" xfId="0" applyFont="1" applyFill="1" applyBorder="1" applyAlignment="1" applyProtection="1">
      <alignment horizontal="center" vertical="center" wrapText="1"/>
      <protection locked="0"/>
    </xf>
    <xf numFmtId="2" fontId="28" fillId="25" borderId="1" xfId="0" applyNumberFormat="1" applyFont="1" applyFill="1" applyBorder="1" applyAlignment="1" applyProtection="1">
      <alignment horizontal="right" vertical="center" indent="1"/>
      <protection locked="0"/>
    </xf>
    <xf numFmtId="0" fontId="28" fillId="25" borderId="1" xfId="0" applyFont="1" applyFill="1" applyBorder="1" applyAlignment="1" applyProtection="1">
      <alignment horizontal="left" vertical="center"/>
      <protection locked="0"/>
    </xf>
    <xf numFmtId="2" fontId="12" fillId="26" borderId="1" xfId="0" applyNumberFormat="1" applyFont="1" applyFill="1" applyBorder="1" applyAlignment="1" applyProtection="1">
      <alignment horizontal="right" vertical="center" indent="1"/>
      <protection locked="0"/>
    </xf>
    <xf numFmtId="165" fontId="14" fillId="15" borderId="1" xfId="1" applyNumberFormat="1" applyFont="1" applyFill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left" vertical="center"/>
      <protection locked="0"/>
    </xf>
    <xf numFmtId="0" fontId="1" fillId="6" borderId="1" xfId="0" applyFont="1" applyFill="1" applyBorder="1" applyAlignment="1" applyProtection="1">
      <alignment vertical="center"/>
      <protection locked="0"/>
    </xf>
    <xf numFmtId="165" fontId="14" fillId="15" borderId="1" xfId="1" applyNumberFormat="1" applyFont="1" applyFill="1" applyBorder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165" fontId="12" fillId="26" borderId="1" xfId="1" applyNumberFormat="1" applyFont="1" applyFill="1" applyBorder="1" applyAlignment="1" applyProtection="1">
      <alignment horizontal="right" vertical="center" indent="1"/>
      <protection locked="0"/>
    </xf>
    <xf numFmtId="0" fontId="26" fillId="6" borderId="1" xfId="0" applyFont="1" applyFill="1" applyBorder="1" applyAlignment="1" applyProtection="1">
      <alignment vertical="center" wrapText="1"/>
      <protection locked="0"/>
    </xf>
    <xf numFmtId="2" fontId="29" fillId="0" borderId="0" xfId="0" applyNumberFormat="1" applyFont="1" applyAlignment="1" applyProtection="1">
      <alignment horizontal="left" vertical="center"/>
      <protection locked="0"/>
    </xf>
    <xf numFmtId="0" fontId="34" fillId="0" borderId="0" xfId="0" applyFont="1" applyAlignment="1" applyProtection="1">
      <alignment vertical="center"/>
      <protection locked="0"/>
    </xf>
    <xf numFmtId="2" fontId="0" fillId="0" borderId="0" xfId="0" applyNumberFormat="1" applyAlignment="1" applyProtection="1">
      <alignment vertical="center"/>
      <protection locked="0"/>
    </xf>
    <xf numFmtId="0" fontId="14" fillId="3" borderId="1" xfId="0" applyFont="1" applyFill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 applyProtection="1">
      <alignment horizontal="center" vertical="center" wrapText="1"/>
      <protection locked="0"/>
    </xf>
    <xf numFmtId="2" fontId="14" fillId="3" borderId="1" xfId="0" applyNumberFormat="1" applyFont="1" applyFill="1" applyBorder="1" applyAlignment="1" applyProtection="1">
      <alignment horizontal="center" vertical="center"/>
      <protection locked="0"/>
    </xf>
    <xf numFmtId="0" fontId="14" fillId="3" borderId="1" xfId="0" applyFont="1" applyFill="1" applyBorder="1" applyAlignment="1" applyProtection="1">
      <alignment horizontal="left" vertical="center"/>
      <protection locked="0"/>
    </xf>
    <xf numFmtId="0" fontId="0" fillId="4" borderId="1" xfId="0" applyFill="1" applyBorder="1" applyAlignment="1" applyProtection="1">
      <alignment vertical="center" wrapText="1"/>
      <protection locked="0"/>
    </xf>
    <xf numFmtId="0" fontId="35" fillId="15" borderId="1" xfId="0" applyFont="1" applyFill="1" applyBorder="1" applyAlignment="1" applyProtection="1">
      <alignment vertical="center"/>
      <protection locked="0"/>
    </xf>
    <xf numFmtId="165" fontId="35" fillId="15" borderId="1" xfId="1" applyNumberFormat="1" applyFont="1" applyFill="1" applyBorder="1" applyAlignment="1" applyProtection="1">
      <alignment horizontal="center" vertical="center"/>
      <protection locked="0"/>
    </xf>
    <xf numFmtId="10" fontId="6" fillId="15" borderId="1" xfId="1" applyNumberFormat="1" applyFont="1" applyFill="1" applyBorder="1" applyAlignment="1" applyProtection="1">
      <alignment horizontal="center" vertical="center"/>
      <protection locked="0"/>
    </xf>
    <xf numFmtId="2" fontId="38" fillId="0" borderId="0" xfId="0" applyNumberFormat="1" applyFont="1" applyAlignment="1">
      <alignment horizontal="right" vertical="center"/>
    </xf>
    <xf numFmtId="166" fontId="3" fillId="24" borderId="19" xfId="0" applyNumberFormat="1" applyFont="1" applyFill="1" applyBorder="1" applyAlignment="1" applyProtection="1">
      <alignment horizontal="center"/>
      <protection locked="0"/>
    </xf>
    <xf numFmtId="166" fontId="3" fillId="24" borderId="9" xfId="0" applyNumberFormat="1" applyFont="1" applyFill="1" applyBorder="1" applyAlignment="1" applyProtection="1">
      <alignment horizontal="center"/>
      <protection locked="0"/>
    </xf>
    <xf numFmtId="0" fontId="3" fillId="24" borderId="20" xfId="0" applyFont="1" applyFill="1" applyBorder="1" applyAlignment="1" applyProtection="1">
      <alignment horizontal="center" wrapText="1"/>
      <protection locked="0"/>
    </xf>
    <xf numFmtId="0" fontId="3" fillId="24" borderId="21" xfId="0" applyFont="1" applyFill="1" applyBorder="1" applyAlignment="1" applyProtection="1">
      <alignment horizontal="center" wrapText="1"/>
      <protection locked="0"/>
    </xf>
    <xf numFmtId="0" fontId="3" fillId="24" borderId="25" xfId="0" applyFont="1" applyFill="1" applyBorder="1" applyAlignment="1" applyProtection="1">
      <alignment horizontal="center" wrapText="1"/>
      <protection locked="0"/>
    </xf>
    <xf numFmtId="0" fontId="3" fillId="24" borderId="26" xfId="0" applyFont="1" applyFill="1" applyBorder="1" applyAlignment="1" applyProtection="1">
      <alignment horizontal="center" wrapText="1"/>
      <protection locked="0"/>
    </xf>
    <xf numFmtId="0" fontId="3" fillId="24" borderId="22" xfId="0" applyFont="1" applyFill="1" applyBorder="1" applyAlignment="1" applyProtection="1">
      <alignment horizontal="center" wrapText="1"/>
      <protection locked="0"/>
    </xf>
    <xf numFmtId="0" fontId="3" fillId="24" borderId="23" xfId="0" applyFont="1" applyFill="1" applyBorder="1" applyAlignment="1" applyProtection="1">
      <alignment horizontal="center" wrapText="1"/>
      <protection locked="0"/>
    </xf>
    <xf numFmtId="0" fontId="19" fillId="18" borderId="8" xfId="0" applyFont="1" applyFill="1" applyBorder="1" applyAlignment="1" applyProtection="1">
      <alignment horizontal="left" vertical="center" wrapText="1"/>
      <protection locked="0"/>
    </xf>
    <xf numFmtId="0" fontId="19" fillId="18" borderId="16" xfId="0" applyFont="1" applyFill="1" applyBorder="1" applyAlignment="1" applyProtection="1">
      <alignment horizontal="left" vertical="center" wrapText="1"/>
      <protection locked="0"/>
    </xf>
    <xf numFmtId="0" fontId="19" fillId="18" borderId="9" xfId="0" applyFont="1" applyFill="1" applyBorder="1" applyAlignment="1" applyProtection="1">
      <alignment horizontal="left" vertical="center" wrapText="1"/>
      <protection locked="0"/>
    </xf>
    <xf numFmtId="0" fontId="24" fillId="5" borderId="14" xfId="0" applyFont="1" applyFill="1" applyBorder="1" applyAlignment="1" applyProtection="1">
      <alignment horizontal="left" vertical="center"/>
      <protection locked="0"/>
    </xf>
    <xf numFmtId="0" fontId="24" fillId="5" borderId="15" xfId="0" applyFont="1" applyFill="1" applyBorder="1" applyAlignment="1" applyProtection="1">
      <alignment horizontal="left" vertical="center"/>
      <protection locked="0"/>
    </xf>
    <xf numFmtId="0" fontId="19" fillId="18" borderId="1" xfId="0" applyFont="1" applyFill="1" applyBorder="1" applyAlignment="1" applyProtection="1">
      <alignment horizontal="left" vertical="center" wrapText="1"/>
      <protection locked="0"/>
    </xf>
    <xf numFmtId="0" fontId="41" fillId="23" borderId="14" xfId="0" applyFont="1" applyFill="1" applyBorder="1" applyAlignment="1" applyProtection="1">
      <alignment horizontal="center"/>
      <protection locked="0"/>
    </xf>
    <xf numFmtId="0" fontId="41" fillId="23" borderId="18" xfId="0" applyFont="1" applyFill="1" applyBorder="1" applyAlignment="1" applyProtection="1">
      <alignment horizontal="center"/>
      <protection locked="0"/>
    </xf>
    <xf numFmtId="2" fontId="0" fillId="24" borderId="10" xfId="0" applyNumberFormat="1" applyFill="1" applyBorder="1" applyAlignment="1" applyProtection="1">
      <alignment horizontal="center"/>
      <protection locked="0"/>
    </xf>
    <xf numFmtId="2" fontId="0" fillId="24" borderId="27" xfId="0" applyNumberFormat="1" applyFill="1" applyBorder="1" applyAlignment="1" applyProtection="1">
      <alignment horizontal="center"/>
      <protection locked="0"/>
    </xf>
    <xf numFmtId="2" fontId="0" fillId="24" borderId="24" xfId="0" applyNumberFormat="1" applyFill="1" applyBorder="1" applyAlignment="1" applyProtection="1">
      <alignment horizontal="center"/>
      <protection locked="0"/>
    </xf>
    <xf numFmtId="0" fontId="3" fillId="24" borderId="13" xfId="0" applyFont="1" applyFill="1" applyBorder="1" applyAlignment="1" applyProtection="1">
      <alignment horizontal="left"/>
      <protection locked="0"/>
    </xf>
    <xf numFmtId="0" fontId="3" fillId="24" borderId="35" xfId="0" applyFont="1" applyFill="1" applyBorder="1" applyAlignment="1" applyProtection="1">
      <alignment horizontal="left"/>
      <protection locked="0"/>
    </xf>
    <xf numFmtId="0" fontId="3" fillId="24" borderId="36" xfId="0" applyFont="1" applyFill="1" applyBorder="1" applyAlignment="1" applyProtection="1">
      <alignment horizontal="left"/>
      <protection locked="0"/>
    </xf>
    <xf numFmtId="0" fontId="3" fillId="24" borderId="37" xfId="0" applyFont="1" applyFill="1" applyBorder="1" applyAlignment="1" applyProtection="1">
      <alignment horizontal="center" wrapText="1"/>
      <protection locked="0"/>
    </xf>
    <xf numFmtId="0" fontId="3" fillId="24" borderId="38" xfId="0" applyFont="1" applyFill="1" applyBorder="1" applyAlignment="1" applyProtection="1">
      <alignment horizontal="center" wrapText="1"/>
      <protection locked="0"/>
    </xf>
    <xf numFmtId="2" fontId="0" fillId="24" borderId="39" xfId="0" applyNumberFormat="1" applyFill="1" applyBorder="1" applyAlignment="1" applyProtection="1">
      <alignment horizontal="center"/>
      <protection locked="0"/>
    </xf>
    <xf numFmtId="0" fontId="3" fillId="24" borderId="40" xfId="0" applyFont="1" applyFill="1" applyBorder="1" applyAlignment="1" applyProtection="1">
      <alignment horizontal="left"/>
      <protection locked="0"/>
    </xf>
    <xf numFmtId="2" fontId="40" fillId="0" borderId="28" xfId="0" applyNumberFormat="1" applyFont="1" applyBorder="1" applyAlignment="1">
      <alignment horizontal="center" vertical="center" wrapText="1"/>
    </xf>
    <xf numFmtId="2" fontId="40" fillId="0" borderId="0" xfId="0" applyNumberFormat="1" applyFont="1" applyAlignment="1">
      <alignment horizontal="center" vertical="center" wrapText="1"/>
    </xf>
    <xf numFmtId="0" fontId="0" fillId="1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</cellXfs>
  <cellStyles count="4">
    <cellStyle name="Bad" xfId="3" builtinId="27"/>
    <cellStyle name="Hyperlink" xfId="2" builtinId="8"/>
    <cellStyle name="Normal" xfId="0" builtinId="0"/>
    <cellStyle name="Percent" xfId="1" builtinId="5"/>
  </cellStyles>
  <dxfs count="2">
    <dxf>
      <font>
        <b/>
        <i val="0"/>
        <color theme="5"/>
      </font>
      <fill>
        <patternFill>
          <bgColor theme="5" tint="0.59996337778862885"/>
        </patternFill>
      </fill>
    </dxf>
    <dxf>
      <font>
        <b/>
        <i val="0"/>
        <color auto="1"/>
      </font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33CC33"/>
      <color rgb="FFFF99FF"/>
      <color rgb="FFF4EE00"/>
      <color rgb="FFFFC7CE"/>
      <color rgb="FF00FFFF"/>
      <color rgb="FFFF0000"/>
      <color rgb="FFFF6600"/>
      <color rgb="FF00FF00"/>
      <color rgb="FF0000FF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'Thermal Shutdown Limit Plot'!$I$1</c:f>
          <c:strCache>
            <c:ptCount val="1"/>
            <c:pt idx="0">
              <c:v>Thermal Shutdown Time Vs. Power Dissipation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897823638266782E-2"/>
          <c:y val="9.8605993441102005E-2"/>
          <c:w val="0.73775182400290162"/>
          <c:h val="0.722530270951232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'Thermal Shutdown Limit Plot'!$B$2</c:f>
              <c:strCache>
                <c:ptCount val="1"/>
                <c:pt idx="0">
                  <c:v> TA = -40 C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Plot'!$B$3:$B$13</c:f>
              <c:numCache>
                <c:formatCode>0.00</c:formatCode>
                <c:ptCount val="11"/>
                <c:pt idx="4">
                  <c:v>155</c:v>
                </c:pt>
                <c:pt idx="5">
                  <c:v>67.5</c:v>
                </c:pt>
                <c:pt idx="6">
                  <c:v>14</c:v>
                </c:pt>
                <c:pt idx="7">
                  <c:v>5.9</c:v>
                </c:pt>
                <c:pt idx="8">
                  <c:v>2.8</c:v>
                </c:pt>
                <c:pt idx="9">
                  <c:v>1.27</c:v>
                </c:pt>
                <c:pt idx="10">
                  <c:v>0.88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CE-4B78-B484-2916ABB7F6B3}"/>
            </c:ext>
          </c:extLst>
        </c:ser>
        <c:ser>
          <c:idx val="1"/>
          <c:order val="1"/>
          <c:tx>
            <c:strRef>
              <c:f>'Thermal Shutdown Limit Plot'!$C$2</c:f>
              <c:strCache>
                <c:ptCount val="1"/>
                <c:pt idx="0">
                  <c:v> TA = 25 C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Plot'!$C$3:$C$13</c:f>
              <c:numCache>
                <c:formatCode>0.00</c:formatCode>
                <c:ptCount val="11"/>
                <c:pt idx="3">
                  <c:v>155</c:v>
                </c:pt>
                <c:pt idx="4">
                  <c:v>94</c:v>
                </c:pt>
                <c:pt idx="5">
                  <c:v>6.5</c:v>
                </c:pt>
                <c:pt idx="6">
                  <c:v>2.1</c:v>
                </c:pt>
                <c:pt idx="7">
                  <c:v>1.1499999999999999</c:v>
                </c:pt>
                <c:pt idx="8">
                  <c:v>0.74</c:v>
                </c:pt>
                <c:pt idx="9">
                  <c:v>0.49</c:v>
                </c:pt>
                <c:pt idx="10">
                  <c:v>0.36399999999999999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CE-4B78-B484-2916ABB7F6B3}"/>
            </c:ext>
          </c:extLst>
        </c:ser>
        <c:ser>
          <c:idx val="2"/>
          <c:order val="2"/>
          <c:tx>
            <c:strRef>
              <c:f>'Thermal Shutdown Limit Plot'!$D$2</c:f>
              <c:strCache>
                <c:ptCount val="1"/>
                <c:pt idx="0">
                  <c:v> TA = 85 C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Plot'!$D$3:$D$13</c:f>
              <c:numCache>
                <c:formatCode>0.00</c:formatCode>
                <c:ptCount val="11"/>
                <c:pt idx="2">
                  <c:v>155</c:v>
                </c:pt>
                <c:pt idx="3">
                  <c:v>42</c:v>
                </c:pt>
                <c:pt idx="4">
                  <c:v>7</c:v>
                </c:pt>
                <c:pt idx="5">
                  <c:v>1</c:v>
                </c:pt>
                <c:pt idx="6">
                  <c:v>0.44400000000000001</c:v>
                </c:pt>
                <c:pt idx="7">
                  <c:v>0.308</c:v>
                </c:pt>
                <c:pt idx="8">
                  <c:v>0.27</c:v>
                </c:pt>
                <c:pt idx="9">
                  <c:v>0.19</c:v>
                </c:pt>
                <c:pt idx="10">
                  <c:v>0.16800000000000001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CE-4B78-B484-2916ABB7F6B3}"/>
            </c:ext>
          </c:extLst>
        </c:ser>
        <c:ser>
          <c:idx val="3"/>
          <c:order val="3"/>
          <c:tx>
            <c:strRef>
              <c:f>'Thermal Shutdown Limit Plot'!$E$2</c:f>
              <c:strCache>
                <c:ptCount val="1"/>
                <c:pt idx="0">
                  <c:v> TA = 125 C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'Thermal Shutdown Limit Plot'!$A$3:$A$13</c:f>
              <c:numCache>
                <c:formatCode>General</c:formatCode>
                <c:ptCount val="11"/>
                <c:pt idx="0">
                  <c:v>0.5</c:v>
                </c:pt>
                <c:pt idx="1">
                  <c:v>0.72</c:v>
                </c:pt>
                <c:pt idx="2">
                  <c:v>1.2</c:v>
                </c:pt>
                <c:pt idx="3">
                  <c:v>2.4</c:v>
                </c:pt>
                <c:pt idx="4">
                  <c:v>4.8</c:v>
                </c:pt>
                <c:pt idx="5">
                  <c:v>12</c:v>
                </c:pt>
                <c:pt idx="6">
                  <c:v>19.2</c:v>
                </c:pt>
                <c:pt idx="7">
                  <c:v>24</c:v>
                </c:pt>
                <c:pt idx="8">
                  <c:v>28.8</c:v>
                </c:pt>
                <c:pt idx="9">
                  <c:v>36</c:v>
                </c:pt>
                <c:pt idx="10">
                  <c:v>43.68</c:v>
                </c:pt>
              </c:numCache>
            </c:numRef>
          </c:xVal>
          <c:yVal>
            <c:numRef>
              <c:f>'Thermal Shutdown Limit Plot'!$E$3:$E$13</c:f>
              <c:numCache>
                <c:formatCode>0.00</c:formatCode>
                <c:ptCount val="11"/>
                <c:pt idx="0">
                  <c:v>124</c:v>
                </c:pt>
                <c:pt idx="1">
                  <c:v>13.5</c:v>
                </c:pt>
                <c:pt idx="2">
                  <c:v>3.3</c:v>
                </c:pt>
                <c:pt idx="3">
                  <c:v>0.9</c:v>
                </c:pt>
                <c:pt idx="4">
                  <c:v>0.36</c:v>
                </c:pt>
                <c:pt idx="5">
                  <c:v>0.156</c:v>
                </c:pt>
                <c:pt idx="6">
                  <c:v>0.14000000000000001</c:v>
                </c:pt>
                <c:pt idx="7">
                  <c:v>0.113</c:v>
                </c:pt>
                <c:pt idx="8">
                  <c:v>0.09</c:v>
                </c:pt>
                <c:pt idx="9">
                  <c:v>8.6999999999999994E-2</c:v>
                </c:pt>
                <c:pt idx="10">
                  <c:v>8.4000000000000005E-2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6CE-4B78-B484-2916ABB7F6B3}"/>
            </c:ext>
          </c:extLst>
        </c:ser>
        <c:ser>
          <c:idx val="4"/>
          <c:order val="4"/>
          <c:tx>
            <c:v>Calculated Point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10"/>
            <c:spPr>
              <a:solidFill>
                <a:srgbClr val="00FFFF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1197076015233737"/>
                  <c:y val="4.2500000000000003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CE-4B78-B484-2916ABB7F6B3}"/>
                </c:ext>
              </c:extLst>
            </c:dLbl>
            <c:spPr>
              <a:solidFill>
                <a:srgbClr val="FFFF00"/>
              </a:solidFill>
              <a:ln>
                <a:solidFill>
                  <a:srgbClr val="4F81BD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'Thermal Shutdown Limit Plot'!$B$18</c:f>
              <c:numCache>
                <c:formatCode>0.00</c:formatCode>
                <c:ptCount val="1"/>
                <c:pt idx="0">
                  <c:v>1.5165957446808511</c:v>
                </c:pt>
              </c:numCache>
            </c:numRef>
          </c:xVal>
          <c:yVal>
            <c:numRef>
              <c:f>'Thermal Shutdown Limit Plot'!$C$18</c:f>
              <c:numCache>
                <c:formatCode>0.00</c:formatCode>
                <c:ptCount val="1"/>
                <c:pt idx="0">
                  <c:v>5.64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6CE-4B78-B484-2916ABB7F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0439167"/>
        <c:axId val="1420659663"/>
      </c:scatterChart>
      <c:valAx>
        <c:axId val="1420439167"/>
        <c:scaling>
          <c:logBase val="10"/>
          <c:orientation val="minMax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>
                    <a:solidFill>
                      <a:sysClr val="windowText" lastClr="000000"/>
                    </a:solidFill>
                  </a:rPr>
                  <a:t>Power dissipation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659663"/>
        <c:crossesAt val="0.1"/>
        <c:crossBetween val="midCat"/>
      </c:valAx>
      <c:valAx>
        <c:axId val="1420659663"/>
        <c:scaling>
          <c:logBase val="10"/>
          <c:orientation val="minMax"/>
          <c:max val="1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>
                    <a:solidFill>
                      <a:sysClr val="windowText" lastClr="000000"/>
                    </a:solidFill>
                  </a:rPr>
                  <a:t>Thermal Shutdown 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439167"/>
        <c:crossesAt val="0.1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4297932283880372"/>
          <c:y val="0.11415413385826771"/>
          <c:w val="0.15702067716119641"/>
          <c:h val="0.24985269849807007"/>
        </c:manualLayout>
      </c:layout>
      <c:overlay val="0"/>
      <c:spPr>
        <a:noFill/>
        <a:ln w="3175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365058</xdr:colOff>
      <xdr:row>16</xdr:row>
      <xdr:rowOff>129884</xdr:rowOff>
    </xdr:from>
    <xdr:to>
      <xdr:col>16</xdr:col>
      <xdr:colOff>644073</xdr:colOff>
      <xdr:row>32</xdr:row>
      <xdr:rowOff>90566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36941A6-D383-4B18-9191-178C16C2C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9129" y="3241384"/>
          <a:ext cx="5694658" cy="36346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215275</xdr:colOff>
      <xdr:row>5</xdr:row>
      <xdr:rowOff>40806</xdr:rowOff>
    </xdr:from>
    <xdr:to>
      <xdr:col>19</xdr:col>
      <xdr:colOff>455648</xdr:colOff>
      <xdr:row>32</xdr:row>
      <xdr:rowOff>95549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B84289-9617-4FAC-A91D-10731266D6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579860</xdr:colOff>
      <xdr:row>30</xdr:row>
      <xdr:rowOff>67481</xdr:rowOff>
    </xdr:from>
    <xdr:to>
      <xdr:col>18</xdr:col>
      <xdr:colOff>628828</xdr:colOff>
      <xdr:row>32</xdr:row>
      <xdr:rowOff>25082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4213CAF-67A2-41AC-86FC-97861BFE9316}"/>
            </a:ext>
          </a:extLst>
        </xdr:cNvPr>
        <xdr:cNvSpPr txBox="1"/>
      </xdr:nvSpPr>
      <xdr:spPr>
        <a:xfrm>
          <a:off x="6029315" y="5667026"/>
          <a:ext cx="8130786" cy="3270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Taken on 2-Layer board, 2oz.(0.08-mm thick) with GND plane area: 2 in</a:t>
          </a:r>
          <a:r>
            <a:rPr lang="en-US" sz="1400" b="1" i="0" u="none" strike="noStrike" baseline="30000">
              <a:solidFill>
                <a:srgbClr val="FF0000"/>
              </a:solidFill>
              <a:latin typeface="+mn-lt"/>
              <a:ea typeface="+mn-ea"/>
              <a:cs typeface="+mn-cs"/>
            </a:rPr>
            <a:t>2 </a:t>
          </a:r>
          <a:r>
            <a:rPr lang="en-US" sz="1400" b="1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(Top) and 5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 in</a:t>
          </a:r>
          <a:r>
            <a:rPr kumimoji="0" lang="en-US" sz="1400" b="1" i="0" u="none" strike="noStrike" kern="0" cap="none" spc="0" normalizeH="0" baseline="3000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2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(Bottom)</a:t>
          </a:r>
          <a:endParaRPr lang="en-US" sz="14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6" tint="-0.249977111117893"/>
  </sheetPr>
  <dimension ref="A1:AA88"/>
  <sheetViews>
    <sheetView showGridLines="0" tabSelected="1" topLeftCell="B7" zoomScale="85" zoomScaleNormal="85" workbookViewId="0">
      <selection activeCell="F38" sqref="F38"/>
    </sheetView>
  </sheetViews>
  <sheetFormatPr defaultColWidth="9.140625" defaultRowHeight="18" customHeight="1" x14ac:dyDescent="0.25"/>
  <cols>
    <col min="1" max="1" width="2.42578125" style="37" customWidth="1"/>
    <col min="2" max="2" width="28.5703125" style="37" customWidth="1"/>
    <col min="3" max="3" width="83.85546875" style="99" customWidth="1"/>
    <col min="4" max="4" width="16.85546875" style="100" customWidth="1"/>
    <col min="5" max="5" width="10.42578125" style="37" customWidth="1"/>
    <col min="6" max="6" width="9.140625" style="38" bestFit="1" customWidth="1"/>
    <col min="7" max="7" width="13.5703125" style="36" bestFit="1" customWidth="1"/>
    <col min="8" max="8" width="7.85546875" style="37" customWidth="1"/>
    <col min="9" max="9" width="8.42578125" style="37" customWidth="1"/>
    <col min="10" max="10" width="10.5703125" style="37" customWidth="1"/>
    <col min="11" max="11" width="9.140625" style="37" hidden="1" customWidth="1"/>
    <col min="12" max="12" width="10.85546875" style="37" customWidth="1"/>
    <col min="13" max="13" width="11.42578125" style="37" customWidth="1"/>
    <col min="14" max="14" width="17.85546875" style="37" customWidth="1"/>
    <col min="15" max="15" width="10.42578125" style="37" bestFit="1" customWidth="1"/>
    <col min="16" max="16" width="7.85546875" style="37" customWidth="1"/>
    <col min="17" max="17" width="13.5703125" style="38" bestFit="1" customWidth="1"/>
    <col min="18" max="18" width="14.42578125" style="38" hidden="1" customWidth="1"/>
    <col min="19" max="25" width="9.140625" style="37"/>
    <col min="26" max="27" width="9.140625" style="37" customWidth="1"/>
    <col min="28" max="16384" width="9.140625" style="37"/>
  </cols>
  <sheetData>
    <row r="1" spans="2:27" ht="24" customHeight="1" x14ac:dyDescent="0.25">
      <c r="B1" s="228" t="s">
        <v>63</v>
      </c>
      <c r="C1" s="229"/>
      <c r="D1" s="57"/>
      <c r="E1" s="58"/>
      <c r="F1" s="59"/>
      <c r="L1" s="60" t="s">
        <v>41</v>
      </c>
      <c r="AA1" s="61"/>
    </row>
    <row r="2" spans="2:27" ht="22.35" customHeight="1" x14ac:dyDescent="0.25">
      <c r="B2" s="62" t="s">
        <v>15</v>
      </c>
      <c r="C2" s="63" t="s">
        <v>16</v>
      </c>
      <c r="D2" s="64" t="s">
        <v>17</v>
      </c>
      <c r="E2" s="65"/>
      <c r="F2" s="66"/>
      <c r="G2" s="67" t="s">
        <v>43</v>
      </c>
      <c r="L2" s="74" t="s">
        <v>53</v>
      </c>
      <c r="M2" s="75" t="s">
        <v>56</v>
      </c>
      <c r="N2" s="75" t="s">
        <v>47</v>
      </c>
      <c r="O2" s="68"/>
      <c r="Q2" s="37"/>
      <c r="R2" s="37"/>
      <c r="AA2" s="61"/>
    </row>
    <row r="3" spans="2:27" ht="18" customHeight="1" thickBot="1" x14ac:dyDescent="0.3">
      <c r="B3" s="69" t="s">
        <v>44</v>
      </c>
      <c r="C3" s="70" t="s">
        <v>32</v>
      </c>
      <c r="D3" s="71"/>
      <c r="E3" s="72"/>
      <c r="F3" s="73"/>
      <c r="G3" s="67" t="s">
        <v>42</v>
      </c>
      <c r="L3" s="81" t="s">
        <v>54</v>
      </c>
      <c r="M3" s="82" t="s">
        <v>56</v>
      </c>
      <c r="N3" s="82" t="s">
        <v>58</v>
      </c>
      <c r="O3" s="38"/>
      <c r="Q3" s="37"/>
      <c r="R3" s="37"/>
      <c r="AA3" s="61"/>
    </row>
    <row r="4" spans="2:27" ht="18" customHeight="1" x14ac:dyDescent="0.25">
      <c r="B4" s="76" t="s">
        <v>0</v>
      </c>
      <c r="C4" s="77" t="s">
        <v>1</v>
      </c>
      <c r="D4" s="78" t="s">
        <v>2</v>
      </c>
      <c r="E4" s="79" t="s">
        <v>3</v>
      </c>
      <c r="F4" s="80" t="s">
        <v>19</v>
      </c>
      <c r="L4" s="74" t="s">
        <v>55</v>
      </c>
      <c r="M4" s="75" t="s">
        <v>57</v>
      </c>
      <c r="N4" s="75" t="s">
        <v>47</v>
      </c>
      <c r="O4" s="38"/>
      <c r="Q4" s="37"/>
      <c r="R4" s="37"/>
      <c r="AA4" s="61"/>
    </row>
    <row r="5" spans="2:27" ht="30" x14ac:dyDescent="0.25">
      <c r="B5" s="83" t="s">
        <v>48</v>
      </c>
      <c r="C5" s="63" t="s">
        <v>138</v>
      </c>
      <c r="D5" s="35" t="s">
        <v>203</v>
      </c>
      <c r="E5" s="84"/>
      <c r="F5" s="85"/>
      <c r="L5" s="81" t="s">
        <v>77</v>
      </c>
      <c r="M5" s="82" t="s">
        <v>57</v>
      </c>
      <c r="N5" s="82" t="s">
        <v>58</v>
      </c>
      <c r="O5" s="38"/>
      <c r="Q5" s="37"/>
      <c r="R5" s="37"/>
      <c r="AA5" s="61"/>
    </row>
    <row r="6" spans="2:27" ht="15.75" x14ac:dyDescent="0.25">
      <c r="B6" s="83" t="s">
        <v>49</v>
      </c>
      <c r="C6" s="63" t="s">
        <v>50</v>
      </c>
      <c r="D6" s="86">
        <v>12</v>
      </c>
      <c r="E6" s="87" t="s">
        <v>6</v>
      </c>
      <c r="F6" s="88"/>
      <c r="L6" s="74" t="s">
        <v>201</v>
      </c>
      <c r="M6" s="75" t="s">
        <v>56</v>
      </c>
      <c r="N6" s="75" t="s">
        <v>47</v>
      </c>
      <c r="O6" s="38"/>
      <c r="Q6" s="37"/>
      <c r="R6" s="37"/>
      <c r="AA6" s="61"/>
    </row>
    <row r="7" spans="2:27" ht="15.75" x14ac:dyDescent="0.25">
      <c r="B7" s="83" t="s">
        <v>9</v>
      </c>
      <c r="C7" s="63" t="s">
        <v>10</v>
      </c>
      <c r="D7" s="86">
        <v>100</v>
      </c>
      <c r="E7" s="87" t="s">
        <v>11</v>
      </c>
      <c r="F7" s="89">
        <v>0.1</v>
      </c>
      <c r="L7" s="81" t="s">
        <v>202</v>
      </c>
      <c r="M7" s="82" t="s">
        <v>56</v>
      </c>
      <c r="N7" s="82" t="s">
        <v>58</v>
      </c>
      <c r="Q7" s="37"/>
      <c r="R7" s="37"/>
    </row>
    <row r="8" spans="2:27" ht="15.75" x14ac:dyDescent="0.25">
      <c r="B8" s="83" t="s">
        <v>148</v>
      </c>
      <c r="C8" s="63" t="s">
        <v>149</v>
      </c>
      <c r="D8" s="86">
        <v>1.4</v>
      </c>
      <c r="E8" s="87" t="s">
        <v>4</v>
      </c>
      <c r="F8" s="90"/>
      <c r="L8" s="74" t="s">
        <v>203</v>
      </c>
      <c r="M8" s="75" t="s">
        <v>57</v>
      </c>
      <c r="N8" s="75" t="s">
        <v>47</v>
      </c>
      <c r="Q8" s="37"/>
      <c r="R8" s="37"/>
    </row>
    <row r="9" spans="2:27" ht="15.75" x14ac:dyDescent="0.25">
      <c r="B9" s="83" t="s">
        <v>93</v>
      </c>
      <c r="C9" s="63" t="s">
        <v>94</v>
      </c>
      <c r="D9" s="86">
        <v>0.2</v>
      </c>
      <c r="E9" s="87" t="s">
        <v>4</v>
      </c>
      <c r="F9" s="90"/>
      <c r="L9" s="81" t="s">
        <v>204</v>
      </c>
      <c r="M9" s="82" t="s">
        <v>57</v>
      </c>
      <c r="N9" s="82" t="s">
        <v>58</v>
      </c>
      <c r="Q9" s="37"/>
      <c r="R9" s="37"/>
    </row>
    <row r="10" spans="2:27" ht="15.75" hidden="1" x14ac:dyDescent="0.25">
      <c r="B10" s="83" t="s">
        <v>56</v>
      </c>
      <c r="C10" s="63" t="s">
        <v>162</v>
      </c>
      <c r="D10" s="86">
        <v>0.69</v>
      </c>
      <c r="E10" s="87" t="s">
        <v>14</v>
      </c>
      <c r="F10" s="90"/>
      <c r="Q10" s="37"/>
      <c r="R10" s="37"/>
    </row>
    <row r="11" spans="2:27" ht="47.45" hidden="1" customHeight="1" thickBot="1" x14ac:dyDescent="0.3">
      <c r="B11" s="83" t="s">
        <v>61</v>
      </c>
      <c r="C11" s="91" t="s">
        <v>164</v>
      </c>
      <c r="D11" s="86">
        <v>2</v>
      </c>
      <c r="E11" s="87" t="s">
        <v>4</v>
      </c>
      <c r="F11" s="90"/>
      <c r="Q11" s="37"/>
      <c r="R11" s="37"/>
    </row>
    <row r="12" spans="2:27" ht="15.6" customHeight="1" x14ac:dyDescent="0.25">
      <c r="B12" s="83" t="s">
        <v>57</v>
      </c>
      <c r="C12" s="63" t="s">
        <v>163</v>
      </c>
      <c r="D12" s="86">
        <v>1.6</v>
      </c>
      <c r="E12" s="87" t="s">
        <v>4</v>
      </c>
      <c r="F12" s="90"/>
      <c r="L12" s="38"/>
      <c r="Q12" s="37"/>
      <c r="R12" s="37"/>
    </row>
    <row r="13" spans="2:27" ht="42.95" customHeight="1" thickBot="1" x14ac:dyDescent="0.3">
      <c r="B13" s="83" t="s">
        <v>61</v>
      </c>
      <c r="C13" s="91" t="s">
        <v>165</v>
      </c>
      <c r="D13" s="86">
        <v>1.8</v>
      </c>
      <c r="E13" s="87" t="s">
        <v>4</v>
      </c>
      <c r="F13" s="90"/>
      <c r="L13" s="38"/>
      <c r="Q13" s="37"/>
      <c r="R13" s="37"/>
    </row>
    <row r="14" spans="2:27" ht="18" customHeight="1" x14ac:dyDescent="0.25">
      <c r="B14" s="83" t="str">
        <f>IF(OR(D5="TPS16412",D5="TPS16413"),"IDLY","PDLY")</f>
        <v>PDLY</v>
      </c>
      <c r="C14" s="91" t="s">
        <v>152</v>
      </c>
      <c r="D14" s="92">
        <v>5</v>
      </c>
      <c r="E14" s="87" t="s">
        <v>5</v>
      </c>
      <c r="F14" s="90"/>
      <c r="G14" s="93"/>
      <c r="I14" s="94"/>
      <c r="J14" s="95"/>
      <c r="K14" s="95"/>
      <c r="L14" s="96"/>
      <c r="M14" s="95"/>
      <c r="N14" s="95"/>
      <c r="O14" s="95"/>
      <c r="P14" s="95"/>
      <c r="Q14" s="97"/>
      <c r="R14" s="37"/>
    </row>
    <row r="15" spans="2:27" ht="18" customHeight="1" x14ac:dyDescent="0.25">
      <c r="B15" s="83" t="s">
        <v>190</v>
      </c>
      <c r="C15" s="91" t="s">
        <v>191</v>
      </c>
      <c r="D15" s="92">
        <v>100</v>
      </c>
      <c r="E15" s="87" t="s">
        <v>192</v>
      </c>
      <c r="F15" s="90"/>
      <c r="G15" s="93">
        <f>VIN_nom/Iout</f>
        <v>8.5714285714285712</v>
      </c>
      <c r="I15" s="54"/>
      <c r="L15" s="38"/>
      <c r="M15" s="98" t="s">
        <v>195</v>
      </c>
      <c r="Q15" s="55"/>
      <c r="R15" s="37"/>
    </row>
    <row r="16" spans="2:27" ht="19.5" customHeight="1" x14ac:dyDescent="0.25">
      <c r="B16" s="83" t="s">
        <v>59</v>
      </c>
      <c r="C16" s="91" t="s">
        <v>62</v>
      </c>
      <c r="D16" s="86">
        <v>14</v>
      </c>
      <c r="E16" s="87" t="s">
        <v>6</v>
      </c>
      <c r="F16" s="90"/>
      <c r="G16" s="93"/>
      <c r="I16" s="54"/>
      <c r="L16" s="38"/>
      <c r="Q16" s="55"/>
      <c r="R16" s="37"/>
    </row>
    <row r="17" spans="1:19" ht="15" customHeight="1" x14ac:dyDescent="0.25">
      <c r="B17" s="83" t="s">
        <v>13</v>
      </c>
      <c r="C17" s="91" t="s">
        <v>45</v>
      </c>
      <c r="D17" s="92">
        <v>70</v>
      </c>
      <c r="E17" s="87" t="s">
        <v>46</v>
      </c>
      <c r="F17" s="88"/>
      <c r="I17" s="54"/>
      <c r="L17" s="38"/>
      <c r="Q17" s="55"/>
      <c r="R17" s="37"/>
    </row>
    <row r="18" spans="1:19" s="101" customFormat="1" ht="18" customHeight="1" x14ac:dyDescent="0.25">
      <c r="A18" s="37"/>
      <c r="B18" s="37"/>
      <c r="C18" s="99"/>
      <c r="D18" s="100"/>
      <c r="E18" s="37"/>
      <c r="F18" s="38"/>
      <c r="G18" s="36"/>
      <c r="I18" s="102"/>
      <c r="Q18" s="103"/>
      <c r="R18" s="104"/>
    </row>
    <row r="19" spans="1:19" s="101" customFormat="1" ht="21" x14ac:dyDescent="0.25">
      <c r="B19" s="105" t="s">
        <v>60</v>
      </c>
      <c r="C19" s="106"/>
      <c r="D19" s="107"/>
      <c r="E19" s="106"/>
      <c r="F19" s="108"/>
      <c r="G19" s="109"/>
      <c r="I19" s="102"/>
      <c r="K19" s="101">
        <f>IF(D20&gt;=100,D20,IF(D20&gt;=10,D20*10,D20*100))</f>
        <v>100</v>
      </c>
      <c r="Q19" s="103"/>
      <c r="R19" s="104"/>
    </row>
    <row r="20" spans="1:19" s="101" customFormat="1" ht="18" customHeight="1" x14ac:dyDescent="0.25">
      <c r="B20" s="110" t="s">
        <v>153</v>
      </c>
      <c r="C20" s="111" t="s">
        <v>154</v>
      </c>
      <c r="D20" s="112">
        <v>100</v>
      </c>
      <c r="E20" s="113" t="s">
        <v>12</v>
      </c>
      <c r="F20" s="114">
        <v>0.01</v>
      </c>
      <c r="G20" s="109"/>
      <c r="I20" s="102"/>
      <c r="K20" s="115">
        <f t="shared" ref="K20" si="0">IF(D21&gt;=100,D21,IF(D21&gt;=10,D21*10,D21*100))</f>
        <v>122.69446672012832</v>
      </c>
      <c r="Q20" s="103"/>
      <c r="R20" s="104"/>
      <c r="S20" s="116"/>
    </row>
    <row r="21" spans="1:19" s="101" customFormat="1" ht="18" customHeight="1" x14ac:dyDescent="0.25">
      <c r="B21" s="117" t="s">
        <v>155</v>
      </c>
      <c r="C21" s="118" t="s">
        <v>64</v>
      </c>
      <c r="D21" s="34">
        <f>R_1/(Vovp/V_OVPR -1)</f>
        <v>12.269446672012831</v>
      </c>
      <c r="E21" s="119" t="s">
        <v>12</v>
      </c>
      <c r="F21" s="120"/>
      <c r="G21" s="109"/>
      <c r="I21" s="102"/>
      <c r="Q21" s="103"/>
      <c r="R21" s="104"/>
      <c r="S21" s="121"/>
    </row>
    <row r="22" spans="1:19" s="101" customFormat="1" ht="18" customHeight="1" x14ac:dyDescent="0.25">
      <c r="B22" s="122" t="s">
        <v>159</v>
      </c>
      <c r="C22" s="123"/>
      <c r="D22" s="124"/>
      <c r="E22" s="125"/>
      <c r="F22" s="126"/>
      <c r="G22" s="109"/>
      <c r="I22" s="102"/>
      <c r="K22" s="127">
        <f>INDEX('Res EIA Tables'!E$5:E$197,2+MATCH(K20,'Res EIA Tables'!E$5:E$197))</f>
        <v>124</v>
      </c>
      <c r="Q22" s="103"/>
      <c r="R22" s="104"/>
    </row>
    <row r="23" spans="1:19" s="116" customFormat="1" ht="18" customHeight="1" x14ac:dyDescent="0.25">
      <c r="A23" s="101"/>
      <c r="B23" s="128" t="s">
        <v>160</v>
      </c>
      <c r="C23" s="129" t="s">
        <v>161</v>
      </c>
      <c r="D23" s="130">
        <f>G23</f>
        <v>12.4</v>
      </c>
      <c r="E23" s="119" t="s">
        <v>12</v>
      </c>
      <c r="F23" s="131">
        <f>F20</f>
        <v>0.01</v>
      </c>
      <c r="G23" s="132">
        <f>K22*D21/K20</f>
        <v>12.4</v>
      </c>
      <c r="H23" s="101" t="s">
        <v>73</v>
      </c>
      <c r="I23" s="102"/>
      <c r="J23" s="101"/>
      <c r="K23" s="101"/>
      <c r="L23" s="101"/>
      <c r="M23" s="101"/>
      <c r="N23" s="101"/>
      <c r="O23" s="101"/>
      <c r="P23" s="101"/>
      <c r="Q23" s="133"/>
      <c r="R23" s="104"/>
      <c r="S23" s="101"/>
    </row>
    <row r="24" spans="1:19" s="121" customFormat="1" ht="18" customHeight="1" x14ac:dyDescent="0.25">
      <c r="A24" s="116"/>
      <c r="B24" s="134" t="s">
        <v>65</v>
      </c>
      <c r="C24" s="135" t="s">
        <v>66</v>
      </c>
      <c r="D24" s="33">
        <f>V_OVPR*(1+R_1/R_2)</f>
        <v>13.868709677419355</v>
      </c>
      <c r="E24" s="136" t="s">
        <v>6</v>
      </c>
      <c r="F24" s="120">
        <f>SQRT(F86^2+F23^2)</f>
        <v>3.352610922848042E-2</v>
      </c>
      <c r="G24" s="137"/>
      <c r="I24" s="102"/>
      <c r="J24" s="138"/>
      <c r="L24" s="101"/>
      <c r="M24" s="101"/>
      <c r="N24" s="101"/>
      <c r="O24" s="101"/>
      <c r="P24" s="101"/>
      <c r="Q24" s="133"/>
      <c r="R24" s="104"/>
      <c r="S24" s="101"/>
    </row>
    <row r="25" spans="1:19" s="101" customFormat="1" ht="18" customHeight="1" x14ac:dyDescent="0.25">
      <c r="A25" s="121"/>
      <c r="B25" s="139" t="s">
        <v>67</v>
      </c>
      <c r="C25" s="140" t="s">
        <v>68</v>
      </c>
      <c r="D25" s="34">
        <f>V_OVPF*(1+R_1/R_2)</f>
        <v>12.69032258064516</v>
      </c>
      <c r="E25" s="141" t="s">
        <v>6</v>
      </c>
      <c r="F25" s="120">
        <f>SQRT(F87^2+F23^2)</f>
        <v>4.3952701850967023E-2</v>
      </c>
      <c r="G25" s="142"/>
      <c r="I25" s="102"/>
      <c r="Q25" s="133"/>
      <c r="R25" s="104"/>
    </row>
    <row r="26" spans="1:19" s="101" customFormat="1" ht="18" customHeight="1" x14ac:dyDescent="0.25">
      <c r="B26" s="143" t="s">
        <v>156</v>
      </c>
      <c r="C26" s="144" t="s">
        <v>157</v>
      </c>
      <c r="D26" s="34">
        <f>VIN_nom*1000/(R_1+R_2)</f>
        <v>106.76156583629893</v>
      </c>
      <c r="E26" s="119" t="s">
        <v>7</v>
      </c>
      <c r="F26" s="120"/>
      <c r="G26" s="109"/>
      <c r="I26" s="102"/>
      <c r="Q26" s="133"/>
      <c r="R26" s="104"/>
    </row>
    <row r="27" spans="1:19" ht="18" customHeight="1" x14ac:dyDescent="0.25">
      <c r="I27" s="102"/>
      <c r="Q27" s="133"/>
    </row>
    <row r="28" spans="1:19" ht="18" customHeight="1" x14ac:dyDescent="0.25">
      <c r="B28" s="225" t="str">
        <f>IF(OR(D5="TPS16412",D5="TPS16413", D5="TPS16416", D5="TPS16417"),"Calculation of RILIM resistor","Calculation of RPLIM resistor")</f>
        <v>Calculation of RILIM resistor</v>
      </c>
      <c r="C28" s="227"/>
      <c r="D28" s="145"/>
      <c r="E28" s="146"/>
      <c r="F28" s="147"/>
      <c r="I28" s="102"/>
      <c r="J28" s="148"/>
      <c r="K28" s="149">
        <f>IF(D29&gt;=100,D29,IF(D29&gt;=10,D29*10,D29*100))</f>
        <v>606.24999999999989</v>
      </c>
      <c r="Q28" s="133"/>
    </row>
    <row r="29" spans="1:19" ht="18" customHeight="1" x14ac:dyDescent="0.25">
      <c r="B29" s="150" t="str">
        <f>IF(OR(D5="TPS16412",D5="TPS16413", D5="TPS16416", D5="TPS16417"),"RILIM_Cal","RPLIM_Cal")</f>
        <v>RILIM_Cal</v>
      </c>
      <c r="C29" s="151" t="s">
        <v>167</v>
      </c>
      <c r="D29" s="17">
        <f>IF(OR(D5="TPS16412",D5="TPS16413", D5="TPS16416", D5="TPS16417"),9.7/D12,D10*95.3/13.69)</f>
        <v>6.0624999999999991</v>
      </c>
      <c r="E29" s="87" t="s">
        <v>12</v>
      </c>
      <c r="F29" s="152"/>
      <c r="I29" s="102"/>
      <c r="J29" s="148"/>
      <c r="Q29" s="133"/>
    </row>
    <row r="30" spans="1:19" ht="21.75" customHeight="1" x14ac:dyDescent="0.25">
      <c r="B30" s="153" t="s">
        <v>158</v>
      </c>
      <c r="C30" s="154"/>
      <c r="D30" s="155"/>
      <c r="E30" s="87"/>
      <c r="F30" s="152"/>
      <c r="I30" s="102"/>
      <c r="K30" s="37">
        <f>INDEX('Res EIA Tables'!E$5:E$197,2+MATCH(K28,'Res EIA Tables'!E$5:E$197))</f>
        <v>619</v>
      </c>
      <c r="Q30" s="133"/>
      <c r="R30" s="156" t="e">
        <f>10^INT(LOG(#REF!))</f>
        <v>#REF!</v>
      </c>
    </row>
    <row r="31" spans="1:19" ht="18" customHeight="1" x14ac:dyDescent="0.25">
      <c r="B31" s="157" t="str">
        <f>IF(OR(D5="TPS16412",D5="TPS16413", D5="TPS16416", D5="TPS16417"),"RILIM","RPLIM")</f>
        <v>RILIM</v>
      </c>
      <c r="C31" s="158" t="s">
        <v>166</v>
      </c>
      <c r="D31" s="159">
        <f>G31</f>
        <v>6.19</v>
      </c>
      <c r="E31" s="87" t="s">
        <v>12</v>
      </c>
      <c r="F31" s="160">
        <v>0.01</v>
      </c>
      <c r="G31" s="161">
        <f>K30*D29/K28</f>
        <v>6.19</v>
      </c>
      <c r="H31" s="37" t="s">
        <v>73</v>
      </c>
      <c r="I31" s="102"/>
      <c r="Q31" s="133"/>
    </row>
    <row r="32" spans="1:19" ht="18" customHeight="1" x14ac:dyDescent="0.25">
      <c r="B32" s="162" t="str">
        <f>IF(OR(D5="TPS16412",D5="TPS16413", D5="TPS16416", D5="TPS16417"),"ILIM_final","PLIM_final")</f>
        <v>ILIM_final</v>
      </c>
      <c r="C32" s="163" t="s">
        <v>168</v>
      </c>
      <c r="D32" s="18">
        <f>IF(OR(D5="TPS16412",D5="TPS16413", D5="TPS16416", D5="TPS16417"),10/D31,D31*13.65/95.3)</f>
        <v>1.615508885298869</v>
      </c>
      <c r="E32" s="164" t="str">
        <f>IF(OR(D5="TPS16412",D5="TPS16413", D5="TPS16416", D5="TPS16417"),"A","W")</f>
        <v>A</v>
      </c>
      <c r="F32" s="165">
        <f>SQRT(5.2%^2+F31^2)</f>
        <v>5.2952809179494909E-2</v>
      </c>
      <c r="G32" s="166"/>
      <c r="I32" s="102"/>
      <c r="Q32" s="133"/>
    </row>
    <row r="33" spans="1:18" ht="17.850000000000001" customHeight="1" x14ac:dyDescent="0.25">
      <c r="B33" s="167"/>
      <c r="C33" s="167"/>
      <c r="D33" s="216">
        <f>IF(OR(D5="TPS16412",D5="TPS16413", D5="TPS16416", D5="TPS16417"),D13,D11)</f>
        <v>1.8</v>
      </c>
      <c r="E33" s="167"/>
      <c r="F33" s="167"/>
      <c r="G33" s="167"/>
      <c r="I33" s="102"/>
      <c r="Q33" s="133"/>
    </row>
    <row r="34" spans="1:18" ht="17.850000000000001" customHeight="1" thickBot="1" x14ac:dyDescent="0.3">
      <c r="B34" s="230" t="s">
        <v>74</v>
      </c>
      <c r="C34" s="230"/>
      <c r="D34" s="145"/>
      <c r="E34" s="146"/>
      <c r="F34" s="147"/>
      <c r="G34" s="167"/>
      <c r="I34" s="102"/>
      <c r="Q34" s="133"/>
    </row>
    <row r="35" spans="1:18" ht="21.75" customHeight="1" x14ac:dyDescent="0.25">
      <c r="B35" s="150" t="s">
        <v>172</v>
      </c>
      <c r="C35" s="151" t="s">
        <v>173</v>
      </c>
      <c r="D35" s="17">
        <f>2.23*7.32/D33</f>
        <v>9.0686666666666653</v>
      </c>
      <c r="E35" s="87" t="s">
        <v>12</v>
      </c>
      <c r="F35" s="152"/>
      <c r="G35" s="37"/>
      <c r="I35" s="168" t="s">
        <v>196</v>
      </c>
      <c r="J35" s="169">
        <f>D20</f>
        <v>100</v>
      </c>
      <c r="K35" s="36" t="s">
        <v>12</v>
      </c>
      <c r="L35" s="36" t="s">
        <v>12</v>
      </c>
      <c r="M35" s="231" t="s">
        <v>0</v>
      </c>
      <c r="N35" s="232"/>
      <c r="O35" s="170" t="s">
        <v>51</v>
      </c>
      <c r="P35" s="171" t="s">
        <v>52</v>
      </c>
      <c r="Q35" s="133"/>
      <c r="R35" s="37"/>
    </row>
    <row r="36" spans="1:18" ht="18" customHeight="1" x14ac:dyDescent="0.25">
      <c r="B36" s="153" t="s">
        <v>174</v>
      </c>
      <c r="C36" s="154"/>
      <c r="D36" s="155"/>
      <c r="E36" s="87"/>
      <c r="F36" s="152"/>
      <c r="G36" s="37"/>
      <c r="I36" s="168" t="s">
        <v>160</v>
      </c>
      <c r="J36" s="169">
        <f>D23</f>
        <v>12.4</v>
      </c>
      <c r="K36" s="36" t="s">
        <v>12</v>
      </c>
      <c r="L36" s="36" t="s">
        <v>12</v>
      </c>
      <c r="M36" s="217" t="s">
        <v>78</v>
      </c>
      <c r="N36" s="218"/>
      <c r="O36" s="172">
        <f>D24</f>
        <v>13.868709677419355</v>
      </c>
      <c r="P36" s="173" t="s">
        <v>6</v>
      </c>
      <c r="Q36" s="133"/>
      <c r="R36" s="37"/>
    </row>
    <row r="37" spans="1:18" ht="18" customHeight="1" x14ac:dyDescent="0.25">
      <c r="B37" s="157" t="s">
        <v>175</v>
      </c>
      <c r="C37" s="158" t="s">
        <v>176</v>
      </c>
      <c r="D37" s="159">
        <f>IF(D35=0,0,
IF((D35/R45)&lt;1.05,1*R45,
IF((D35/R45)&lt;1.15,1.1*R45,
IF((D35/R45)&lt;1.25,1.2*R45,
IF((D35/R45)&lt;1.4,1.3*R45,
IF((D35/R45)&lt;1.55,1.5*R45,
IF((D35/R45)&lt;1.7,1.6*R45,0)))))))+
IF((D35/R45)&lt;1.7,0,
IF((D35/R45)&lt;1.9,1.8*R45,
IF((D35/R45)&lt;2.1,2*R45,
IF((D35/R45)&lt;2.3,2.2*R45,
IF((D35/R45)&lt;2.55,2.4*R45,
IF((D35/R45)&lt;2.85,2.7*R45,
IF((D35/R45)&lt;3.15,3*R45,0)))))))+
IF((D35/R45)&lt;3.15,0,
IF((D35/R45)&lt;3.45,3.3*R45,
IF((D35/R45)&lt;3.75,3.6*R45,
IF((D35/R45)&lt;4.1,3.9*R45,
IF((D35/R45)&lt;4.5,4.3*R45,
IF((D35/R45)&lt;4.9,4.7*R45,
IF((D35/R45)&lt;5.35,5.1*R45,0)))))))+
IF((D35/R45)&lt;5.35,0,
IF((D35/R45)&lt;5.9,5.6*R45,
IF((D35/R45)&lt;6.5,6.2*R45,
IF((D35/R45)&lt;7.15,6.8*R45,
IF((D35/R45)&lt;7.85,7.5*R45,
IF((D35/R45)&lt;8.65,8.2*R45,
IF((D35/R45)&lt;9.55,9.1*R45,10*R45)))))))</f>
        <v>9.1</v>
      </c>
      <c r="E37" s="87" t="s">
        <v>12</v>
      </c>
      <c r="F37" s="160">
        <v>0.01</v>
      </c>
      <c r="G37" s="37"/>
      <c r="I37" s="168" t="s">
        <v>175</v>
      </c>
      <c r="J37" s="169">
        <f>D37</f>
        <v>9.1</v>
      </c>
      <c r="K37" s="36" t="s">
        <v>12</v>
      </c>
      <c r="L37" s="36" t="s">
        <v>12</v>
      </c>
      <c r="M37" s="217" t="s">
        <v>79</v>
      </c>
      <c r="N37" s="218"/>
      <c r="O37" s="172">
        <f>D25</f>
        <v>12.69032258064516</v>
      </c>
      <c r="P37" s="173" t="s">
        <v>6</v>
      </c>
      <c r="Q37" s="133"/>
      <c r="R37" s="37"/>
    </row>
    <row r="38" spans="1:18" s="98" customFormat="1" ht="18" customHeight="1" x14ac:dyDescent="0.25">
      <c r="A38" s="37"/>
      <c r="B38" s="162" t="s">
        <v>75</v>
      </c>
      <c r="C38" s="163" t="s">
        <v>76</v>
      </c>
      <c r="D38" s="18">
        <f>2.23*7.32/D37</f>
        <v>1.7938021978021979</v>
      </c>
      <c r="E38" s="164" t="s">
        <v>4</v>
      </c>
      <c r="F38" s="160">
        <f>SQRT(5.4%^2+F37^2)</f>
        <v>5.4918120870983925E-2</v>
      </c>
      <c r="I38" s="168" t="str">
        <f>IF(OR(D5="TPS16412",D5="TPS16413"),"RILIM","RPLIM")</f>
        <v>RPLIM</v>
      </c>
      <c r="J38" s="169">
        <f>D31</f>
        <v>6.19</v>
      </c>
      <c r="K38" s="36" t="s">
        <v>12</v>
      </c>
      <c r="L38" s="36" t="s">
        <v>12</v>
      </c>
      <c r="M38" s="219" t="str">
        <f>IF(OR(D5="TPS16412",D5="TPS16413"),"Current Limit","Power Limit")</f>
        <v>Power Limit</v>
      </c>
      <c r="N38" s="220"/>
      <c r="O38" s="233">
        <f>D32</f>
        <v>1.615508885298869</v>
      </c>
      <c r="P38" s="236" t="str">
        <f>IF(OR(D5="TPS16412",D5="TPS16413"),"A","W")</f>
        <v>W</v>
      </c>
      <c r="Q38" s="133"/>
    </row>
    <row r="39" spans="1:18" s="98" customFormat="1" ht="18" customHeight="1" x14ac:dyDescent="0.25">
      <c r="A39" s="37"/>
      <c r="B39" s="174" t="s">
        <v>82</v>
      </c>
      <c r="C39" s="175" t="s">
        <v>83</v>
      </c>
      <c r="D39" s="176">
        <f>Iout</f>
        <v>1.4</v>
      </c>
      <c r="E39" s="175" t="s">
        <v>4</v>
      </c>
      <c r="F39" s="164"/>
      <c r="I39" s="168" t="s">
        <v>182</v>
      </c>
      <c r="J39" s="169">
        <f>D48</f>
        <v>10</v>
      </c>
      <c r="K39" s="36" t="s">
        <v>8</v>
      </c>
      <c r="L39" s="36" t="s">
        <v>8</v>
      </c>
      <c r="M39" s="221"/>
      <c r="N39" s="222"/>
      <c r="O39" s="234"/>
      <c r="P39" s="237"/>
      <c r="Q39" s="133"/>
    </row>
    <row r="40" spans="1:18" ht="18" customHeight="1" x14ac:dyDescent="0.25">
      <c r="A40" s="98"/>
      <c r="B40" s="162" t="s">
        <v>81</v>
      </c>
      <c r="C40" s="163" t="s">
        <v>105</v>
      </c>
      <c r="D40" s="18">
        <f>(D39*D37*GainIMON)+(0.1*D37)</f>
        <v>637.90999999999985</v>
      </c>
      <c r="E40" s="164" t="s">
        <v>84</v>
      </c>
      <c r="F40" s="160">
        <f>SQRT(F88^2+F37^2)</f>
        <v>0.10049875621120891</v>
      </c>
      <c r="G40" s="177"/>
      <c r="I40" s="168" t="s">
        <v>108</v>
      </c>
      <c r="J40" s="169">
        <f>D56</f>
        <v>47</v>
      </c>
      <c r="K40" s="36" t="s">
        <v>8</v>
      </c>
      <c r="L40" s="36" t="s">
        <v>8</v>
      </c>
      <c r="M40" s="223"/>
      <c r="N40" s="224"/>
      <c r="O40" s="235"/>
      <c r="P40" s="238"/>
      <c r="Q40" s="133"/>
      <c r="R40" s="37"/>
    </row>
    <row r="41" spans="1:18" ht="18" customHeight="1" x14ac:dyDescent="0.25">
      <c r="A41" s="98"/>
      <c r="B41" s="166"/>
      <c r="C41" s="166"/>
      <c r="D41" s="166"/>
      <c r="E41" s="166"/>
      <c r="F41" s="166"/>
      <c r="G41" s="166"/>
      <c r="I41" s="102"/>
      <c r="J41" s="36"/>
      <c r="K41" s="36"/>
      <c r="L41" s="36"/>
      <c r="M41" s="219" t="s">
        <v>181</v>
      </c>
      <c r="N41" s="220"/>
      <c r="O41" s="233">
        <f>D38</f>
        <v>1.7938021978021979</v>
      </c>
      <c r="P41" s="236" t="s">
        <v>4</v>
      </c>
      <c r="Q41" s="133"/>
      <c r="R41" s="37"/>
    </row>
    <row r="42" spans="1:18" ht="18" customHeight="1" x14ac:dyDescent="0.25">
      <c r="A42" s="98"/>
      <c r="B42" s="225" t="s">
        <v>106</v>
      </c>
      <c r="C42" s="226"/>
      <c r="D42" s="226"/>
      <c r="E42" s="227"/>
      <c r="F42" s="147"/>
      <c r="G42" s="166"/>
      <c r="I42" s="102"/>
      <c r="J42" s="36"/>
      <c r="K42" s="36"/>
      <c r="L42" s="36"/>
      <c r="M42" s="223"/>
      <c r="N42" s="224"/>
      <c r="O42" s="235"/>
      <c r="P42" s="238"/>
      <c r="Q42" s="133"/>
      <c r="R42" s="37"/>
    </row>
    <row r="43" spans="1:18" ht="18" customHeight="1" x14ac:dyDescent="0.25">
      <c r="A43" s="98"/>
      <c r="B43" s="162" t="s">
        <v>86</v>
      </c>
      <c r="C43" s="163" t="s">
        <v>178</v>
      </c>
      <c r="D43" s="18">
        <f>1.9*D38</f>
        <v>3.4082241758241758</v>
      </c>
      <c r="E43" s="164" t="s">
        <v>4</v>
      </c>
      <c r="F43" s="164"/>
      <c r="G43" s="166"/>
      <c r="I43" s="102"/>
      <c r="J43" s="36"/>
      <c r="K43" s="36"/>
      <c r="L43" s="36"/>
      <c r="M43" s="219" t="s">
        <v>180</v>
      </c>
      <c r="N43" s="220"/>
      <c r="O43" s="233">
        <f>7.4</f>
        <v>7.4</v>
      </c>
      <c r="P43" s="236" t="s">
        <v>4</v>
      </c>
      <c r="Q43" s="133"/>
      <c r="R43" s="37"/>
    </row>
    <row r="44" spans="1:18" ht="18" customHeight="1" x14ac:dyDescent="0.25">
      <c r="A44" s="98"/>
      <c r="B44" s="162" t="s">
        <v>85</v>
      </c>
      <c r="C44" s="163" t="s">
        <v>177</v>
      </c>
      <c r="D44" s="18">
        <v>6.7</v>
      </c>
      <c r="E44" s="164" t="s">
        <v>4</v>
      </c>
      <c r="F44" s="164"/>
      <c r="G44" s="166"/>
      <c r="I44" s="102"/>
      <c r="J44" s="36"/>
      <c r="K44" s="36"/>
      <c r="L44" s="36"/>
      <c r="M44" s="223"/>
      <c r="N44" s="224"/>
      <c r="O44" s="235"/>
      <c r="P44" s="238"/>
      <c r="Q44" s="133"/>
      <c r="R44" s="37"/>
    </row>
    <row r="45" spans="1:18" ht="17.850000000000001" customHeight="1" x14ac:dyDescent="0.25">
      <c r="A45" s="36"/>
      <c r="B45" s="36"/>
      <c r="C45" s="36"/>
      <c r="D45" s="36"/>
      <c r="E45" s="36"/>
      <c r="F45" s="36"/>
      <c r="I45" s="102"/>
      <c r="J45" s="36"/>
      <c r="K45" s="36"/>
      <c r="L45" s="36"/>
      <c r="M45" s="219" t="s">
        <v>179</v>
      </c>
      <c r="N45" s="220"/>
      <c r="O45" s="233">
        <f>D43</f>
        <v>3.4082241758241758</v>
      </c>
      <c r="P45" s="236" t="s">
        <v>4</v>
      </c>
      <c r="Q45" s="133"/>
      <c r="R45" s="156">
        <f>10^INT(LOG(D35))</f>
        <v>1</v>
      </c>
    </row>
    <row r="46" spans="1:18" ht="18" customHeight="1" x14ac:dyDescent="0.25">
      <c r="B46" s="225" t="s">
        <v>70</v>
      </c>
      <c r="C46" s="226"/>
      <c r="D46" s="226"/>
      <c r="E46" s="227"/>
      <c r="F46" s="178"/>
      <c r="G46" s="179"/>
      <c r="I46" s="102"/>
      <c r="J46" s="36"/>
      <c r="K46" s="36"/>
      <c r="L46" s="36"/>
      <c r="M46" s="223"/>
      <c r="N46" s="224"/>
      <c r="O46" s="235"/>
      <c r="P46" s="238"/>
      <c r="Q46" s="133"/>
      <c r="R46" s="37"/>
    </row>
    <row r="47" spans="1:18" ht="18" customHeight="1" x14ac:dyDescent="0.25">
      <c r="B47" s="180" t="s">
        <v>69</v>
      </c>
      <c r="C47" s="180" t="s">
        <v>169</v>
      </c>
      <c r="D47" s="17">
        <f>MAX(12, D14*12/6)</f>
        <v>12</v>
      </c>
      <c r="E47" s="87" t="s">
        <v>8</v>
      </c>
      <c r="F47" s="152"/>
      <c r="G47" s="181">
        <f>D47</f>
        <v>12</v>
      </c>
      <c r="I47" s="102"/>
      <c r="K47" s="149"/>
      <c r="M47" s="219" t="s">
        <v>80</v>
      </c>
      <c r="N47" s="220"/>
      <c r="O47" s="233">
        <f>D49</f>
        <v>5</v>
      </c>
      <c r="P47" s="236" t="s">
        <v>5</v>
      </c>
      <c r="Q47" s="133"/>
      <c r="R47" s="37"/>
    </row>
    <row r="48" spans="1:18" s="98" customFormat="1" ht="18.600000000000001" customHeight="1" thickBot="1" x14ac:dyDescent="0.3">
      <c r="A48" s="37"/>
      <c r="B48" s="157" t="s">
        <v>71</v>
      </c>
      <c r="C48" s="157" t="s">
        <v>171</v>
      </c>
      <c r="D48" s="159">
        <v>10</v>
      </c>
      <c r="E48" s="182" t="s">
        <v>8</v>
      </c>
      <c r="F48" s="183">
        <v>0.05</v>
      </c>
      <c r="G48" s="184">
        <f>IF(G47&lt;1000,  INDEX('Cap Tables'!B4:B75,1+MATCH(G47,'Cap Tables'!B4:B75)), INDEX('Cap Tables'!C4:C75,1+MATCH(G47/1000,'Cap Tables'!C4:C75))*1000)</f>
        <v>15</v>
      </c>
      <c r="H48" s="37" t="s">
        <v>8</v>
      </c>
      <c r="I48" s="102"/>
      <c r="K48" s="185"/>
      <c r="M48" s="239"/>
      <c r="N48" s="240"/>
      <c r="O48" s="241"/>
      <c r="P48" s="242"/>
      <c r="Q48" s="133"/>
    </row>
    <row r="49" spans="1:18" ht="18" customHeight="1" thickBot="1" x14ac:dyDescent="0.3">
      <c r="A49" s="98"/>
      <c r="B49" s="186" t="s">
        <v>72</v>
      </c>
      <c r="C49" s="187" t="s">
        <v>170</v>
      </c>
      <c r="D49" s="18">
        <f>D48*5/10</f>
        <v>5</v>
      </c>
      <c r="E49" s="164" t="s">
        <v>5</v>
      </c>
      <c r="F49" s="186"/>
      <c r="G49" s="188"/>
      <c r="I49" s="189"/>
      <c r="J49" s="190"/>
      <c r="K49" s="190"/>
      <c r="L49" s="190"/>
      <c r="M49" s="190"/>
      <c r="N49" s="190"/>
      <c r="O49" s="190"/>
      <c r="P49" s="190"/>
      <c r="Q49" s="191"/>
    </row>
    <row r="50" spans="1:18" ht="21.75" customHeight="1" x14ac:dyDescent="0.25">
      <c r="E50" s="36"/>
      <c r="I50" s="101"/>
      <c r="Q50" s="37"/>
      <c r="R50" s="37"/>
    </row>
    <row r="51" spans="1:18" ht="21.75" customHeight="1" x14ac:dyDescent="0.25">
      <c r="B51" s="230" t="s">
        <v>87</v>
      </c>
      <c r="C51" s="230"/>
      <c r="D51" s="145"/>
      <c r="E51" s="146"/>
      <c r="F51" s="147"/>
      <c r="I51" s="101"/>
      <c r="Q51" s="37"/>
      <c r="R51" s="37"/>
    </row>
    <row r="52" spans="1:18" ht="21.75" customHeight="1" x14ac:dyDescent="0.25">
      <c r="B52" s="192" t="s">
        <v>0</v>
      </c>
      <c r="C52" s="193" t="s">
        <v>1</v>
      </c>
      <c r="D52" s="194" t="s">
        <v>2</v>
      </c>
      <c r="E52" s="195" t="s">
        <v>3</v>
      </c>
      <c r="F52" s="192" t="s">
        <v>19</v>
      </c>
      <c r="I52" s="101"/>
      <c r="Q52" s="37"/>
      <c r="R52" s="37"/>
    </row>
    <row r="53" spans="1:18" ht="21.75" customHeight="1" x14ac:dyDescent="0.25">
      <c r="B53" s="150" t="s">
        <v>88</v>
      </c>
      <c r="C53" s="151" t="s">
        <v>89</v>
      </c>
      <c r="D53" s="196">
        <v>2</v>
      </c>
      <c r="E53" s="182" t="s">
        <v>7</v>
      </c>
      <c r="F53" s="197">
        <v>0.115</v>
      </c>
      <c r="I53" s="101"/>
      <c r="Q53" s="37"/>
      <c r="R53" s="37"/>
    </row>
    <row r="54" spans="1:18" ht="21.75" customHeight="1" x14ac:dyDescent="0.25">
      <c r="B54" s="150" t="s">
        <v>90</v>
      </c>
      <c r="C54" s="151" t="s">
        <v>91</v>
      </c>
      <c r="D54" s="196">
        <v>50</v>
      </c>
      <c r="E54" s="182" t="s">
        <v>92</v>
      </c>
      <c r="F54" s="197"/>
      <c r="H54" s="98"/>
      <c r="I54" s="101"/>
      <c r="J54" s="98"/>
      <c r="K54" s="98"/>
      <c r="Q54" s="37"/>
      <c r="R54" s="37"/>
    </row>
    <row r="55" spans="1:18" ht="23.1" customHeight="1" x14ac:dyDescent="0.25">
      <c r="B55" s="150" t="s">
        <v>109</v>
      </c>
      <c r="C55" s="151" t="s">
        <v>183</v>
      </c>
      <c r="D55" s="39">
        <f>D53*D54*Cout/Icharge_req/1000</f>
        <v>50</v>
      </c>
      <c r="E55" s="182" t="s">
        <v>8</v>
      </c>
      <c r="F55" s="197"/>
      <c r="P55" s="38"/>
      <c r="R55" s="37"/>
    </row>
    <row r="56" spans="1:18" ht="21.95" customHeight="1" x14ac:dyDescent="0.25">
      <c r="B56" s="157" t="s">
        <v>108</v>
      </c>
      <c r="C56" s="158" t="s">
        <v>107</v>
      </c>
      <c r="D56" s="159">
        <v>47</v>
      </c>
      <c r="E56" s="182" t="s">
        <v>8</v>
      </c>
      <c r="F56" s="183">
        <v>0.05</v>
      </c>
      <c r="G56" s="198">
        <f>IF(D55&lt;1, 1, INDEX('Cap Tables'!B4:B75,1+MATCH(D55,'Cap Tables'!B4:B75)))</f>
        <v>68</v>
      </c>
      <c r="P56" s="38"/>
      <c r="R56" s="37"/>
    </row>
    <row r="57" spans="1:18" ht="21.95" customHeight="1" x14ac:dyDescent="0.25">
      <c r="B57" s="199" t="s">
        <v>184</v>
      </c>
      <c r="C57" s="199" t="s">
        <v>185</v>
      </c>
      <c r="D57" s="53">
        <f>D53*D54*Cout/D56/1000</f>
        <v>0.21276595744680851</v>
      </c>
      <c r="E57" s="200" t="s">
        <v>4</v>
      </c>
      <c r="F57" s="197"/>
      <c r="G57" s="201"/>
      <c r="P57" s="38"/>
      <c r="R57" s="37"/>
    </row>
    <row r="58" spans="1:18" ht="21.95" customHeight="1" x14ac:dyDescent="0.25">
      <c r="B58" s="199" t="s">
        <v>193</v>
      </c>
      <c r="C58" s="199" t="s">
        <v>194</v>
      </c>
      <c r="D58" s="53">
        <f>D56*VIN_nom/(D53*D54)</f>
        <v>5.64</v>
      </c>
      <c r="E58" s="200" t="s">
        <v>5</v>
      </c>
      <c r="F58" s="183">
        <f>SQRT(F53^2+F56^2)</f>
        <v>0.12539936203984453</v>
      </c>
      <c r="G58" s="201"/>
      <c r="P58" s="38"/>
      <c r="R58" s="37"/>
    </row>
    <row r="59" spans="1:18" ht="23.1" customHeight="1" x14ac:dyDescent="0.25">
      <c r="B59" s="202"/>
      <c r="C59" s="202"/>
      <c r="D59" s="202"/>
      <c r="E59" s="202"/>
      <c r="F59" s="202"/>
      <c r="G59" s="202"/>
      <c r="P59" s="38"/>
      <c r="R59" s="37"/>
    </row>
    <row r="60" spans="1:18" ht="27.6" customHeight="1" x14ac:dyDescent="0.25">
      <c r="B60" s="230" t="s">
        <v>96</v>
      </c>
      <c r="C60" s="230"/>
      <c r="D60" s="230"/>
      <c r="E60" s="230"/>
      <c r="F60" s="147"/>
      <c r="P60" s="38"/>
      <c r="R60" s="37"/>
    </row>
    <row r="61" spans="1:18" ht="24.95" customHeight="1" x14ac:dyDescent="0.25">
      <c r="B61" s="150" t="s">
        <v>95</v>
      </c>
      <c r="C61" s="151" t="s">
        <v>110</v>
      </c>
      <c r="D61" s="17">
        <f>(1/2)*(VIN_nom)*D57</f>
        <v>1.2765957446808511</v>
      </c>
      <c r="E61" s="182" t="s">
        <v>14</v>
      </c>
      <c r="F61" s="197"/>
      <c r="P61" s="38"/>
      <c r="R61" s="37"/>
    </row>
    <row r="62" spans="1:18" ht="24" customHeight="1" x14ac:dyDescent="0.25">
      <c r="B62" s="150" t="s">
        <v>186</v>
      </c>
      <c r="C62" s="151" t="s">
        <v>187</v>
      </c>
      <c r="D62" s="17">
        <f>1/6*(VIN_nom^2)/Rlstart</f>
        <v>0.24</v>
      </c>
      <c r="E62" s="182" t="s">
        <v>14</v>
      </c>
      <c r="F62" s="197"/>
      <c r="P62" s="38"/>
      <c r="R62" s="37"/>
    </row>
    <row r="63" spans="1:18" ht="25.5" customHeight="1" x14ac:dyDescent="0.25">
      <c r="B63" s="150" t="s">
        <v>188</v>
      </c>
      <c r="C63" s="151" t="s">
        <v>189</v>
      </c>
      <c r="D63" s="17">
        <f>D61+D62</f>
        <v>1.5165957446808511</v>
      </c>
      <c r="E63" s="182" t="s">
        <v>14</v>
      </c>
      <c r="F63" s="197"/>
      <c r="P63" s="38"/>
      <c r="R63" s="37"/>
    </row>
    <row r="64" spans="1:18" ht="38.1" customHeight="1" x14ac:dyDescent="0.25">
      <c r="B64" s="150"/>
      <c r="C64" s="151" t="s">
        <v>97</v>
      </c>
      <c r="D64" s="17">
        <f>INDEX('Thermal Shutdown Limit Plot'!A3:E13,MATCH(Tchg_dvdt,'Thermal Shutdown Limit Plot'!D3:D13,-1),1)*0.8</f>
        <v>3.84</v>
      </c>
      <c r="E64" s="182" t="s">
        <v>14</v>
      </c>
      <c r="F64" s="203">
        <v>0.2</v>
      </c>
      <c r="P64" s="38"/>
      <c r="R64" s="37"/>
    </row>
    <row r="65" spans="2:18" ht="47.45" customHeight="1" x14ac:dyDescent="0.25">
      <c r="B65" s="150"/>
      <c r="C65" s="204" t="s">
        <v>200</v>
      </c>
      <c r="D65" s="243" t="str">
        <f>IF(D63&lt;(D64),"YES","NO, Increase Rlstart and/or Reduce inrush current; and/or Reduce Cout")</f>
        <v>YES</v>
      </c>
      <c r="E65" s="244"/>
      <c r="F65" s="244"/>
      <c r="G65" s="244"/>
      <c r="H65" s="244"/>
      <c r="I65" s="244"/>
      <c r="J65" s="244"/>
      <c r="P65" s="38"/>
      <c r="R65" s="37"/>
    </row>
    <row r="66" spans="2:18" ht="26.1" customHeight="1" x14ac:dyDescent="0.25">
      <c r="B66" s="205"/>
      <c r="C66" s="205"/>
      <c r="D66" s="205"/>
      <c r="E66" s="205"/>
      <c r="F66" s="205"/>
      <c r="G66" s="205"/>
      <c r="H66" s="205"/>
      <c r="P66" s="38"/>
      <c r="R66" s="37"/>
    </row>
    <row r="67" spans="2:18" ht="31.5" customHeight="1" x14ac:dyDescent="0.25">
      <c r="B67" s="230" t="s">
        <v>134</v>
      </c>
      <c r="C67" s="230"/>
      <c r="D67" s="230"/>
      <c r="E67" s="230"/>
      <c r="F67" s="147"/>
      <c r="I67" s="205"/>
      <c r="J67" s="205"/>
      <c r="K67" s="205"/>
      <c r="P67" s="38"/>
      <c r="R67" s="37"/>
    </row>
    <row r="68" spans="2:18" ht="27.95" customHeight="1" x14ac:dyDescent="0.25">
      <c r="B68" s="150" t="s">
        <v>135</v>
      </c>
      <c r="C68" s="151" t="s">
        <v>150</v>
      </c>
      <c r="D68" s="17">
        <f>(Iout*Iout*Rdson)</f>
        <v>313.59999999999997</v>
      </c>
      <c r="E68" s="182" t="s">
        <v>137</v>
      </c>
      <c r="F68" s="197"/>
    </row>
    <row r="69" spans="2:18" ht="26.45" customHeight="1" x14ac:dyDescent="0.25">
      <c r="B69" s="150" t="s">
        <v>136</v>
      </c>
      <c r="C69" s="151" t="s">
        <v>151</v>
      </c>
      <c r="D69" s="17">
        <f>Iout*Rdson</f>
        <v>224</v>
      </c>
      <c r="E69" s="182" t="s">
        <v>84</v>
      </c>
      <c r="F69" s="197"/>
    </row>
    <row r="70" spans="2:18" ht="18" customHeight="1" x14ac:dyDescent="0.25">
      <c r="B70" s="36"/>
      <c r="C70" s="36"/>
      <c r="D70" s="36"/>
      <c r="E70" s="36"/>
      <c r="F70" s="36"/>
    </row>
    <row r="71" spans="2:18" ht="18" customHeight="1" x14ac:dyDescent="0.25">
      <c r="B71" s="206" t="s">
        <v>111</v>
      </c>
      <c r="D71" s="207"/>
    </row>
    <row r="72" spans="2:18" ht="18" customHeight="1" x14ac:dyDescent="0.25">
      <c r="B72" s="208" t="s">
        <v>0</v>
      </c>
      <c r="C72" s="209" t="s">
        <v>1</v>
      </c>
      <c r="D72" s="210" t="s">
        <v>2</v>
      </c>
      <c r="E72" s="211" t="s">
        <v>3</v>
      </c>
      <c r="F72" s="208" t="s">
        <v>19</v>
      </c>
    </row>
    <row r="73" spans="2:18" ht="18" customHeight="1" x14ac:dyDescent="0.25">
      <c r="B73" s="180" t="s">
        <v>112</v>
      </c>
      <c r="C73" s="212" t="s">
        <v>113</v>
      </c>
      <c r="D73" s="51">
        <v>40</v>
      </c>
      <c r="E73" s="87" t="s">
        <v>6</v>
      </c>
      <c r="F73" s="152"/>
    </row>
    <row r="74" spans="2:18" ht="18" customHeight="1" x14ac:dyDescent="0.25">
      <c r="B74" s="180" t="s">
        <v>114</v>
      </c>
      <c r="C74" s="212" t="s">
        <v>139</v>
      </c>
      <c r="D74" s="51">
        <v>1.8</v>
      </c>
      <c r="E74" s="87" t="s">
        <v>4</v>
      </c>
      <c r="F74" s="152"/>
    </row>
    <row r="75" spans="2:18" ht="18" customHeight="1" x14ac:dyDescent="0.25">
      <c r="B75" s="180" t="s">
        <v>115</v>
      </c>
      <c r="C75" s="212" t="s">
        <v>116</v>
      </c>
      <c r="D75" s="51">
        <v>160</v>
      </c>
      <c r="E75" s="87" t="s">
        <v>140</v>
      </c>
      <c r="F75" s="152"/>
    </row>
    <row r="76" spans="2:18" ht="18" customHeight="1" x14ac:dyDescent="0.25">
      <c r="B76" s="180" t="s">
        <v>117</v>
      </c>
      <c r="C76" s="212" t="s">
        <v>118</v>
      </c>
      <c r="D76" s="51">
        <v>260</v>
      </c>
      <c r="E76" s="87" t="s">
        <v>140</v>
      </c>
      <c r="F76" s="152"/>
    </row>
    <row r="77" spans="2:18" ht="18" customHeight="1" x14ac:dyDescent="0.25">
      <c r="B77" s="206" t="s">
        <v>119</v>
      </c>
      <c r="D77" s="50"/>
    </row>
    <row r="78" spans="2:18" ht="18" customHeight="1" x14ac:dyDescent="0.25">
      <c r="B78" s="180" t="s">
        <v>120</v>
      </c>
      <c r="C78" s="212" t="s">
        <v>133</v>
      </c>
      <c r="D78" s="51">
        <v>150</v>
      </c>
      <c r="E78" s="213" t="s">
        <v>121</v>
      </c>
      <c r="F78" s="214"/>
    </row>
    <row r="79" spans="2:18" ht="18" customHeight="1" x14ac:dyDescent="0.25">
      <c r="B79" s="180" t="s">
        <v>197</v>
      </c>
      <c r="C79" s="212" t="s">
        <v>122</v>
      </c>
      <c r="D79" s="51">
        <v>50</v>
      </c>
      <c r="E79" s="213" t="s">
        <v>123</v>
      </c>
      <c r="F79" s="214"/>
    </row>
    <row r="80" spans="2:18" ht="18" customHeight="1" x14ac:dyDescent="0.25">
      <c r="B80" s="180" t="s">
        <v>198</v>
      </c>
      <c r="C80" s="212" t="s">
        <v>199</v>
      </c>
      <c r="D80" s="51">
        <v>15.8</v>
      </c>
      <c r="E80" s="213" t="s">
        <v>123</v>
      </c>
      <c r="F80" s="214"/>
    </row>
    <row r="81" spans="2:6" ht="18" customHeight="1" x14ac:dyDescent="0.25">
      <c r="B81" s="180" t="s">
        <v>124</v>
      </c>
      <c r="C81" s="212" t="s">
        <v>125</v>
      </c>
      <c r="D81" s="51">
        <v>43.7</v>
      </c>
      <c r="E81" s="213" t="s">
        <v>123</v>
      </c>
      <c r="F81" s="214"/>
    </row>
    <row r="82" spans="2:6" ht="18" customHeight="1" x14ac:dyDescent="0.25">
      <c r="B82" s="180" t="s">
        <v>126</v>
      </c>
      <c r="C82" s="212" t="s">
        <v>127</v>
      </c>
      <c r="D82" s="51">
        <v>2.1</v>
      </c>
      <c r="E82" s="213" t="s">
        <v>123</v>
      </c>
      <c r="F82" s="214"/>
    </row>
    <row r="83" spans="2:6" ht="18" customHeight="1" x14ac:dyDescent="0.25">
      <c r="B83" s="206" t="s">
        <v>128</v>
      </c>
      <c r="D83" s="50"/>
    </row>
    <row r="84" spans="2:6" ht="18" customHeight="1" x14ac:dyDescent="0.25">
      <c r="B84" s="180" t="s">
        <v>141</v>
      </c>
      <c r="C84" s="212" t="s">
        <v>142</v>
      </c>
      <c r="D84" s="52">
        <v>1.2</v>
      </c>
      <c r="E84" s="87" t="s">
        <v>6</v>
      </c>
      <c r="F84" s="152"/>
    </row>
    <row r="85" spans="2:6" ht="18" customHeight="1" x14ac:dyDescent="0.25">
      <c r="B85" s="180" t="s">
        <v>144</v>
      </c>
      <c r="C85" s="212" t="s">
        <v>143</v>
      </c>
      <c r="D85" s="52">
        <v>0.59</v>
      </c>
      <c r="E85" s="87" t="s">
        <v>6</v>
      </c>
      <c r="F85" s="152"/>
    </row>
    <row r="86" spans="2:6" ht="18" customHeight="1" x14ac:dyDescent="0.25">
      <c r="B86" s="180" t="s">
        <v>146</v>
      </c>
      <c r="C86" s="212" t="s">
        <v>129</v>
      </c>
      <c r="D86" s="52">
        <v>1.53</v>
      </c>
      <c r="E86" s="87" t="s">
        <v>6</v>
      </c>
      <c r="F86" s="152">
        <v>3.2000000000000001E-2</v>
      </c>
    </row>
    <row r="87" spans="2:6" ht="18" customHeight="1" x14ac:dyDescent="0.25">
      <c r="B87" s="180" t="s">
        <v>147</v>
      </c>
      <c r="C87" s="212" t="s">
        <v>145</v>
      </c>
      <c r="D87" s="52">
        <v>1.4</v>
      </c>
      <c r="E87" s="87" t="s">
        <v>6</v>
      </c>
      <c r="F87" s="215">
        <v>4.2799999999999998E-2</v>
      </c>
    </row>
    <row r="88" spans="2:6" ht="18" customHeight="1" x14ac:dyDescent="0.25">
      <c r="B88" s="180" t="s">
        <v>130</v>
      </c>
      <c r="C88" s="212" t="s">
        <v>131</v>
      </c>
      <c r="D88" s="56">
        <v>50</v>
      </c>
      <c r="E88" s="87" t="s">
        <v>132</v>
      </c>
      <c r="F88" s="152">
        <v>0.1</v>
      </c>
    </row>
  </sheetData>
  <sheetProtection password="DD6C" sheet="1" objects="1" scenarios="1" formatColumns="0" formatRows="0"/>
  <protectedRanges>
    <protectedRange sqref="D23 F23 D20 F20 D37 D31 F31:F32 F43 F37:F38 G13:H13 D5:D16 F7:F9" name="UserInputs"/>
    <protectedRange sqref="D48 F48" name="Range1"/>
    <protectedRange sqref="D56:D58 F56:F58" name="UserInputs_1"/>
  </protectedRanges>
  <mergeCells count="27">
    <mergeCell ref="O38:O40"/>
    <mergeCell ref="P38:P40"/>
    <mergeCell ref="O45:O46"/>
    <mergeCell ref="P45:P46"/>
    <mergeCell ref="B67:E67"/>
    <mergeCell ref="B51:C51"/>
    <mergeCell ref="B60:E60"/>
    <mergeCell ref="M47:N48"/>
    <mergeCell ref="O47:O48"/>
    <mergeCell ref="O41:O42"/>
    <mergeCell ref="O43:O44"/>
    <mergeCell ref="B46:E46"/>
    <mergeCell ref="P47:P48"/>
    <mergeCell ref="P41:P42"/>
    <mergeCell ref="P43:P44"/>
    <mergeCell ref="D65:J65"/>
    <mergeCell ref="M37:N37"/>
    <mergeCell ref="M38:N40"/>
    <mergeCell ref="B42:E42"/>
    <mergeCell ref="M45:N46"/>
    <mergeCell ref="B1:C1"/>
    <mergeCell ref="B28:C28"/>
    <mergeCell ref="B34:C34"/>
    <mergeCell ref="M35:N35"/>
    <mergeCell ref="M36:N36"/>
    <mergeCell ref="M41:N42"/>
    <mergeCell ref="M43:N44"/>
  </mergeCells>
  <conditionalFormatting sqref="D65">
    <cfRule type="cellIs" dxfId="1" priority="19" stopIfTrue="1" operator="equal">
      <formula>"YES"</formula>
    </cfRule>
  </conditionalFormatting>
  <conditionalFormatting sqref="D65:J65">
    <cfRule type="cellIs" dxfId="0" priority="1" operator="notEqual">
      <formula>"YES"</formula>
    </cfRule>
  </conditionalFormatting>
  <dataValidations xWindow="836" yWindow="554" count="7">
    <dataValidation type="decimal" operator="lessThanOrEqual" showInputMessage="1" showErrorMessage="1" error="VIN(operating) must be &lt; Vovp" prompt="VIN_nom must be &lt; VOVP" sqref="D6" xr:uid="{4DB9FE20-95E9-4A56-A753-557C0CCDAE79}">
      <formula1>Vovp</formula1>
    </dataValidation>
    <dataValidation type="decimal" errorStyle="warning" operator="greaterThan" allowBlank="1" showInputMessage="1" showErrorMessage="1" error="Set ILIM at least 10% higher than Iout" prompt="Set ILIM at least 10% higher than Iout" sqref="D12" xr:uid="{B55F246A-1546-473A-A6F8-7B8DDD618CD5}">
      <formula1>1.1*Iout</formula1>
    </dataValidation>
    <dataValidation type="decimal" errorStyle="warning" operator="greaterThan" allowBlank="1" showInputMessage="1" showErrorMessage="1" error="Set IOCP &gt; (Iout + Icharge_req)" prompt="Set IOCP &gt; (Iout + Icharge_req)" sqref="D13 D11" xr:uid="{1027C990-76AF-458F-90D1-6DD888D781D0}">
      <formula1>(Iout+Icharge_req)</formula1>
    </dataValidation>
    <dataValidation type="decimal" operator="greaterThan" allowBlank="1" showInputMessage="1" showErrorMessage="1" errorTitle="ERROR!" error="Start-up Load Resistor is &lt; VIN_nom/Iout, this will prevent start-up." prompt="Start-up Load must be &gt; VIN_nom/Iout" sqref="D15" xr:uid="{16EF8C96-4136-4A3E-AB0A-DE998A8401ED}">
      <formula1>G15</formula1>
    </dataValidation>
    <dataValidation type="decimal" operator="lessThan" allowBlank="1" showInputMessage="1" showErrorMessage="1" errorTitle="ERROR!" error="PLIM should be &lt; VIN * 1.8A" prompt="PLIM should be &lt; VIN * 1.8A" sqref="D10" xr:uid="{3DB7B0AC-54A5-4312-A59B-C7FD91DE51AE}">
      <formula1>D6*1.8</formula1>
    </dataValidation>
    <dataValidation type="decimal" operator="greaterThan" allowBlank="1" showInputMessage="1" showErrorMessage="1" errorTitle="ERROR!" error="RIOCP should be &gt;=6.34kOhm" prompt="RIOCP should be &gt;=6.34kOhm" sqref="D37" xr:uid="{3AD6AD27-B8C8-4E23-8AF7-33ABE2993BE3}">
      <formula1>6.34</formula1>
    </dataValidation>
    <dataValidation type="list" allowBlank="1" showInputMessage="1" showErrorMessage="1" error="Choose from the drop-down list" sqref="D5" xr:uid="{C0D002D9-0BF1-4629-815E-CB9DD447D152}">
      <formula1>$L$2:$L$9</formula1>
    </dataValidation>
  </dataValidations>
  <pageMargins left="0.7" right="0.7" top="0.75" bottom="0.75" header="0.3" footer="0.3"/>
  <pageSetup orientation="portrait" r:id="rId1"/>
  <ignoredErrors>
    <ignoredError sqref="D37 D39 D31 D23 B14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931B8-4AEA-47BA-BA85-1C1D04A845C3}">
  <sheetPr codeName="Sheet5">
    <tabColor rgb="FFFF0000"/>
  </sheetPr>
  <dimension ref="A1:M95"/>
  <sheetViews>
    <sheetView showGridLines="0" zoomScale="60" zoomScaleNormal="60" workbookViewId="0">
      <selection activeCell="C27" sqref="C27"/>
    </sheetView>
  </sheetViews>
  <sheetFormatPr defaultColWidth="9.140625" defaultRowHeight="15" x14ac:dyDescent="0.25"/>
  <cols>
    <col min="1" max="1" width="17.5703125" style="3" customWidth="1"/>
    <col min="2" max="2" width="13.42578125" style="3" customWidth="1"/>
    <col min="3" max="3" width="11.5703125" style="3" customWidth="1"/>
    <col min="4" max="4" width="16.85546875" style="3" bestFit="1" customWidth="1"/>
    <col min="5" max="5" width="10.42578125" style="3" bestFit="1" customWidth="1"/>
    <col min="6" max="6" width="8.140625" customWidth="1"/>
    <col min="7" max="7" width="13.85546875" customWidth="1"/>
  </cols>
  <sheetData>
    <row r="1" spans="1:13" ht="15.75" thickBot="1" x14ac:dyDescent="0.3">
      <c r="A1" s="31" t="s">
        <v>40</v>
      </c>
      <c r="B1" s="32"/>
      <c r="C1" s="32"/>
      <c r="D1" s="32"/>
      <c r="G1" s="20" t="s">
        <v>33</v>
      </c>
      <c r="I1" s="19" t="s">
        <v>104</v>
      </c>
      <c r="J1" s="21"/>
      <c r="K1" s="21"/>
      <c r="L1" s="21"/>
      <c r="M1" s="21"/>
    </row>
    <row r="2" spans="1:13" ht="16.5" customHeight="1" thickBot="1" x14ac:dyDescent="0.3">
      <c r="A2" s="49" t="s">
        <v>34</v>
      </c>
      <c r="B2" s="48" t="s">
        <v>103</v>
      </c>
      <c r="C2" s="48" t="s">
        <v>102</v>
      </c>
      <c r="D2" s="48" t="s">
        <v>101</v>
      </c>
      <c r="E2" s="47" t="s">
        <v>100</v>
      </c>
      <c r="I2" s="22"/>
    </row>
    <row r="3" spans="1:13" ht="16.5" customHeight="1" x14ac:dyDescent="0.25">
      <c r="A3" s="46">
        <v>0.5</v>
      </c>
      <c r="B3" s="44"/>
      <c r="C3" s="44"/>
      <c r="D3" s="44"/>
      <c r="E3" s="43">
        <v>124</v>
      </c>
      <c r="F3" s="28"/>
      <c r="G3" s="24" t="s">
        <v>35</v>
      </c>
      <c r="H3" t="s">
        <v>36</v>
      </c>
      <c r="I3" s="25" t="s">
        <v>99</v>
      </c>
    </row>
    <row r="4" spans="1:13" x14ac:dyDescent="0.25">
      <c r="A4" s="46">
        <v>0.72</v>
      </c>
      <c r="B4" s="44"/>
      <c r="C4" s="44"/>
      <c r="D4" s="44"/>
      <c r="E4" s="43">
        <v>13.5</v>
      </c>
      <c r="F4" s="28"/>
      <c r="H4" t="s">
        <v>37</v>
      </c>
      <c r="I4" s="25" t="s">
        <v>98</v>
      </c>
    </row>
    <row r="5" spans="1:13" x14ac:dyDescent="0.25">
      <c r="A5" s="46">
        <v>1.2</v>
      </c>
      <c r="B5" s="44"/>
      <c r="C5" s="44"/>
      <c r="D5" s="44">
        <v>155</v>
      </c>
      <c r="E5" s="43">
        <v>3.3</v>
      </c>
      <c r="F5" s="28"/>
      <c r="I5" s="22"/>
    </row>
    <row r="6" spans="1:13" x14ac:dyDescent="0.25">
      <c r="A6" s="46">
        <v>2.4</v>
      </c>
      <c r="B6" s="44"/>
      <c r="C6" s="44">
        <v>155</v>
      </c>
      <c r="D6" s="44">
        <v>42</v>
      </c>
      <c r="E6" s="43">
        <v>0.9</v>
      </c>
      <c r="F6" s="28"/>
      <c r="I6" s="25"/>
    </row>
    <row r="7" spans="1:13" x14ac:dyDescent="0.25">
      <c r="A7" s="46">
        <v>4.8</v>
      </c>
      <c r="B7" s="44">
        <v>155</v>
      </c>
      <c r="C7" s="44">
        <v>94</v>
      </c>
      <c r="D7" s="44">
        <v>7</v>
      </c>
      <c r="E7" s="43">
        <v>0.36</v>
      </c>
      <c r="F7" s="27"/>
      <c r="I7" s="25"/>
    </row>
    <row r="8" spans="1:13" x14ac:dyDescent="0.25">
      <c r="A8" s="45">
        <v>12</v>
      </c>
      <c r="B8" s="44">
        <v>67.5</v>
      </c>
      <c r="C8" s="44">
        <v>6.5</v>
      </c>
      <c r="D8" s="44">
        <v>1</v>
      </c>
      <c r="E8" s="43">
        <v>0.156</v>
      </c>
      <c r="F8" s="27"/>
      <c r="I8" s="22"/>
    </row>
    <row r="9" spans="1:13" x14ac:dyDescent="0.25">
      <c r="A9" s="45">
        <v>19.2</v>
      </c>
      <c r="B9" s="44">
        <v>14</v>
      </c>
      <c r="C9" s="44">
        <v>2.1</v>
      </c>
      <c r="D9" s="44">
        <v>0.44400000000000001</v>
      </c>
      <c r="E9" s="43">
        <v>0.14000000000000001</v>
      </c>
      <c r="F9" s="28"/>
      <c r="I9" s="22"/>
    </row>
    <row r="10" spans="1:13" x14ac:dyDescent="0.25">
      <c r="A10" s="45">
        <v>24</v>
      </c>
      <c r="B10" s="44">
        <v>5.9</v>
      </c>
      <c r="C10" s="44">
        <v>1.1499999999999999</v>
      </c>
      <c r="D10" s="44">
        <v>0.308</v>
      </c>
      <c r="E10" s="43">
        <v>0.113</v>
      </c>
      <c r="F10" s="27"/>
      <c r="I10" s="26"/>
    </row>
    <row r="11" spans="1:13" x14ac:dyDescent="0.25">
      <c r="A11" s="45">
        <v>28.8</v>
      </c>
      <c r="B11" s="44">
        <v>2.8</v>
      </c>
      <c r="C11" s="44">
        <v>0.74</v>
      </c>
      <c r="D11" s="44">
        <v>0.27</v>
      </c>
      <c r="E11" s="43">
        <v>0.09</v>
      </c>
      <c r="F11" s="27"/>
      <c r="I11" s="26"/>
    </row>
    <row r="12" spans="1:13" x14ac:dyDescent="0.25">
      <c r="A12" s="45">
        <v>36</v>
      </c>
      <c r="B12" s="44">
        <v>1.27</v>
      </c>
      <c r="C12" s="44">
        <v>0.49</v>
      </c>
      <c r="D12" s="44">
        <v>0.19</v>
      </c>
      <c r="E12" s="43">
        <v>8.6999999999999994E-2</v>
      </c>
      <c r="F12" s="27"/>
    </row>
    <row r="13" spans="1:13" x14ac:dyDescent="0.25">
      <c r="A13" s="42">
        <v>43.68</v>
      </c>
      <c r="B13" s="41">
        <v>0.88</v>
      </c>
      <c r="C13" s="41">
        <v>0.36399999999999999</v>
      </c>
      <c r="D13" s="41">
        <v>0.16800000000000001</v>
      </c>
      <c r="E13" s="40">
        <v>8.4000000000000005E-2</v>
      </c>
      <c r="F13" s="27"/>
    </row>
    <row r="14" spans="1:13" x14ac:dyDescent="0.25">
      <c r="A14" s="45"/>
      <c r="B14" s="44"/>
      <c r="C14" s="23"/>
      <c r="D14" s="44"/>
      <c r="E14" s="23"/>
      <c r="F14" s="27"/>
    </row>
    <row r="15" spans="1:13" x14ac:dyDescent="0.25">
      <c r="A15" s="45"/>
      <c r="B15" s="44"/>
      <c r="C15" s="23"/>
      <c r="D15" s="44"/>
      <c r="E15" s="23"/>
      <c r="F15" s="27"/>
    </row>
    <row r="16" spans="1:13" x14ac:dyDescent="0.25">
      <c r="A16" s="45"/>
      <c r="B16" s="44"/>
      <c r="C16" s="23"/>
      <c r="D16" s="44"/>
      <c r="E16" s="23"/>
      <c r="F16" s="28"/>
    </row>
    <row r="17" spans="1:6" x14ac:dyDescent="0.25">
      <c r="A17" s="45"/>
      <c r="B17" s="30" t="s">
        <v>38</v>
      </c>
      <c r="C17" s="30" t="s">
        <v>39</v>
      </c>
      <c r="D17" s="44"/>
      <c r="E17" s="23"/>
      <c r="F17" s="28"/>
    </row>
    <row r="18" spans="1:6" x14ac:dyDescent="0.25">
      <c r="A18" s="45"/>
      <c r="B18" s="30">
        <f>'TPS1641x_Calculation Sheet'!D63</f>
        <v>1.5165957446808511</v>
      </c>
      <c r="C18" s="30">
        <f>Tchg_dvdt</f>
        <v>5.64</v>
      </c>
      <c r="D18" s="44"/>
      <c r="E18" s="23"/>
      <c r="F18" s="28"/>
    </row>
    <row r="19" spans="1:6" x14ac:dyDescent="0.25">
      <c r="A19" s="45"/>
      <c r="B19" s="44"/>
      <c r="C19" s="23"/>
      <c r="D19" s="44"/>
      <c r="E19" s="23"/>
      <c r="F19" s="27"/>
    </row>
    <row r="20" spans="1:6" x14ac:dyDescent="0.25">
      <c r="A20" s="45"/>
      <c r="B20" s="44"/>
      <c r="C20" s="23"/>
      <c r="D20" s="44"/>
      <c r="E20" s="23"/>
      <c r="F20" s="28"/>
    </row>
    <row r="21" spans="1:6" x14ac:dyDescent="0.25">
      <c r="A21" s="45"/>
      <c r="B21" s="44"/>
      <c r="C21" s="23"/>
      <c r="D21" s="44"/>
      <c r="E21" s="23"/>
      <c r="F21" s="28"/>
    </row>
    <row r="22" spans="1:6" x14ac:dyDescent="0.25">
      <c r="A22" s="45"/>
      <c r="B22" s="44"/>
      <c r="C22" s="23"/>
      <c r="D22" s="44"/>
      <c r="E22" s="23"/>
      <c r="F22" s="28"/>
    </row>
    <row r="23" spans="1:6" x14ac:dyDescent="0.25">
      <c r="A23" s="44"/>
      <c r="B23" s="44"/>
      <c r="C23" s="44"/>
      <c r="D23" s="44"/>
      <c r="E23" s="44"/>
      <c r="F23" s="28"/>
    </row>
    <row r="24" spans="1:6" x14ac:dyDescent="0.25">
      <c r="A24" s="44"/>
      <c r="B24" s="44"/>
      <c r="C24" s="44"/>
      <c r="D24" s="44"/>
      <c r="E24" s="44"/>
      <c r="F24" s="28"/>
    </row>
    <row r="25" spans="1:6" x14ac:dyDescent="0.25">
      <c r="A25" s="44"/>
      <c r="B25" s="44"/>
      <c r="C25" s="44"/>
      <c r="D25" s="44"/>
      <c r="E25" s="44"/>
      <c r="F25" s="28"/>
    </row>
    <row r="26" spans="1:6" x14ac:dyDescent="0.25">
      <c r="A26" s="44"/>
      <c r="B26" s="44"/>
      <c r="C26" s="44"/>
      <c r="D26" s="44"/>
      <c r="E26" s="44"/>
    </row>
    <row r="27" spans="1:6" x14ac:dyDescent="0.25">
      <c r="A27" s="44"/>
      <c r="B27" s="44"/>
      <c r="C27" s="44"/>
      <c r="D27" s="44"/>
      <c r="E27" s="44"/>
    </row>
    <row r="28" spans="1:6" x14ac:dyDescent="0.25">
      <c r="A28" s="44"/>
      <c r="B28" s="44"/>
      <c r="C28" s="44"/>
      <c r="D28" s="44"/>
    </row>
    <row r="29" spans="1:6" x14ac:dyDescent="0.25">
      <c r="A29" s="44"/>
      <c r="B29" s="44"/>
      <c r="C29" s="44"/>
      <c r="D29" s="44"/>
    </row>
    <row r="30" spans="1:6" x14ac:dyDescent="0.25">
      <c r="A30" s="44"/>
      <c r="B30" s="44"/>
      <c r="C30" s="44"/>
      <c r="D30" s="44"/>
    </row>
    <row r="31" spans="1:6" x14ac:dyDescent="0.25">
      <c r="A31" s="44"/>
      <c r="B31" s="44"/>
      <c r="C31" s="44"/>
      <c r="D31" s="44"/>
    </row>
    <row r="32" spans="1:6" x14ac:dyDescent="0.25">
      <c r="B32" s="23"/>
      <c r="C32" s="23"/>
      <c r="D32" s="23"/>
    </row>
    <row r="33" spans="2:4" s="3" customFormat="1" x14ac:dyDescent="0.25">
      <c r="B33" s="23"/>
      <c r="C33" s="23"/>
      <c r="D33" s="23"/>
    </row>
    <row r="34" spans="2:4" s="3" customFormat="1" x14ac:dyDescent="0.25">
      <c r="B34" s="23"/>
      <c r="C34" s="23"/>
      <c r="D34" s="23"/>
    </row>
    <row r="35" spans="2:4" s="3" customFormat="1" x14ac:dyDescent="0.25">
      <c r="B35" s="23"/>
      <c r="C35" s="23"/>
      <c r="D35" s="23"/>
    </row>
    <row r="36" spans="2:4" s="3" customFormat="1" x14ac:dyDescent="0.25">
      <c r="B36" s="23"/>
      <c r="C36" s="23"/>
      <c r="D36" s="23"/>
    </row>
    <row r="37" spans="2:4" s="3" customFormat="1" x14ac:dyDescent="0.25">
      <c r="B37" s="23"/>
      <c r="C37" s="23"/>
      <c r="D37" s="23"/>
    </row>
    <row r="38" spans="2:4" s="3" customFormat="1" x14ac:dyDescent="0.25">
      <c r="B38" s="23"/>
      <c r="C38" s="23"/>
      <c r="D38" s="23"/>
    </row>
    <row r="39" spans="2:4" s="3" customFormat="1" x14ac:dyDescent="0.25">
      <c r="B39" s="23"/>
      <c r="C39" s="23"/>
      <c r="D39" s="23"/>
    </row>
    <row r="40" spans="2:4" s="3" customFormat="1" x14ac:dyDescent="0.25">
      <c r="B40" s="23"/>
      <c r="C40" s="23"/>
      <c r="D40" s="23"/>
    </row>
    <row r="41" spans="2:4" s="3" customFormat="1" x14ac:dyDescent="0.25">
      <c r="B41" s="23"/>
      <c r="C41" s="23"/>
      <c r="D41" s="23"/>
    </row>
    <row r="42" spans="2:4" s="3" customFormat="1" x14ac:dyDescent="0.25">
      <c r="B42" s="23"/>
      <c r="C42" s="23"/>
      <c r="D42" s="23"/>
    </row>
    <row r="43" spans="2:4" s="3" customFormat="1" x14ac:dyDescent="0.25">
      <c r="B43" s="23"/>
      <c r="C43" s="23"/>
      <c r="D43" s="23"/>
    </row>
    <row r="44" spans="2:4" s="3" customFormat="1" x14ac:dyDescent="0.25">
      <c r="B44" s="23"/>
      <c r="C44" s="23"/>
      <c r="D44" s="23"/>
    </row>
    <row r="45" spans="2:4" s="3" customFormat="1" x14ac:dyDescent="0.25">
      <c r="B45" s="23"/>
      <c r="C45" s="23"/>
      <c r="D45" s="23"/>
    </row>
    <row r="46" spans="2:4" s="3" customFormat="1" x14ac:dyDescent="0.25">
      <c r="B46" s="23"/>
      <c r="C46" s="23"/>
      <c r="D46" s="23"/>
    </row>
    <row r="47" spans="2:4" s="3" customFormat="1" x14ac:dyDescent="0.25">
      <c r="B47" s="23"/>
      <c r="C47" s="23"/>
      <c r="D47" s="23"/>
    </row>
    <row r="48" spans="2:4" s="3" customFormat="1" x14ac:dyDescent="0.25">
      <c r="B48" s="23"/>
      <c r="C48" s="23"/>
      <c r="D48" s="23"/>
    </row>
    <row r="49" spans="1:4" s="3" customFormat="1" x14ac:dyDescent="0.25">
      <c r="B49" s="23"/>
      <c r="C49" s="23"/>
      <c r="D49" s="23"/>
    </row>
    <row r="50" spans="1:4" s="3" customFormat="1" x14ac:dyDescent="0.25">
      <c r="B50" s="23"/>
      <c r="C50" s="23"/>
      <c r="D50" s="23"/>
    </row>
    <row r="51" spans="1:4" s="3" customFormat="1" x14ac:dyDescent="0.25">
      <c r="A51" s="29"/>
      <c r="B51" s="23"/>
      <c r="C51" s="23"/>
      <c r="D51" s="23"/>
    </row>
    <row r="52" spans="1:4" s="3" customFormat="1" x14ac:dyDescent="0.25">
      <c r="A52" s="29"/>
      <c r="B52" s="23"/>
      <c r="C52" s="23"/>
      <c r="D52" s="23"/>
    </row>
    <row r="53" spans="1:4" s="3" customFormat="1" x14ac:dyDescent="0.25">
      <c r="A53" s="29"/>
      <c r="B53" s="23"/>
      <c r="C53" s="23"/>
      <c r="D53" s="23"/>
    </row>
    <row r="54" spans="1:4" s="3" customFormat="1" x14ac:dyDescent="0.25">
      <c r="A54" s="29"/>
      <c r="B54" s="23"/>
      <c r="C54" s="23"/>
      <c r="D54" s="23"/>
    </row>
    <row r="55" spans="1:4" s="3" customFormat="1" x14ac:dyDescent="0.25">
      <c r="A55" s="29"/>
      <c r="B55" s="23"/>
      <c r="C55" s="23"/>
      <c r="D55" s="23"/>
    </row>
    <row r="56" spans="1:4" s="3" customFormat="1" x14ac:dyDescent="0.25">
      <c r="A56" s="29"/>
      <c r="B56" s="23"/>
      <c r="C56" s="23"/>
      <c r="D56" s="23"/>
    </row>
    <row r="57" spans="1:4" s="3" customFormat="1" x14ac:dyDescent="0.25">
      <c r="A57" s="29"/>
      <c r="B57" s="23"/>
      <c r="C57" s="23"/>
      <c r="D57" s="23"/>
    </row>
    <row r="58" spans="1:4" s="3" customFormat="1" x14ac:dyDescent="0.25">
      <c r="A58" s="29"/>
      <c r="B58" s="23"/>
      <c r="C58" s="23"/>
      <c r="D58" s="23"/>
    </row>
    <row r="59" spans="1:4" s="3" customFormat="1" x14ac:dyDescent="0.25">
      <c r="A59" s="29"/>
      <c r="B59" s="23"/>
      <c r="C59" s="23"/>
      <c r="D59" s="23"/>
    </row>
    <row r="60" spans="1:4" s="3" customFormat="1" x14ac:dyDescent="0.25">
      <c r="A60" s="29"/>
      <c r="B60" s="23"/>
      <c r="C60" s="23"/>
      <c r="D60" s="23"/>
    </row>
    <row r="61" spans="1:4" s="3" customFormat="1" x14ac:dyDescent="0.25">
      <c r="A61" s="29"/>
      <c r="B61" s="23"/>
      <c r="C61" s="23"/>
      <c r="D61" s="23"/>
    </row>
    <row r="62" spans="1:4" s="3" customFormat="1" x14ac:dyDescent="0.25">
      <c r="A62" s="29"/>
      <c r="B62" s="23"/>
      <c r="C62" s="23"/>
      <c r="D62" s="23"/>
    </row>
    <row r="63" spans="1:4" s="3" customFormat="1" x14ac:dyDescent="0.25">
      <c r="A63" s="29"/>
      <c r="B63" s="23"/>
      <c r="C63" s="23"/>
      <c r="D63" s="23"/>
    </row>
    <row r="64" spans="1:4" s="3" customFormat="1" x14ac:dyDescent="0.25">
      <c r="A64" s="29"/>
      <c r="B64" s="23"/>
      <c r="C64" s="23"/>
      <c r="D64" s="23"/>
    </row>
    <row r="65" spans="1:4" s="3" customFormat="1" x14ac:dyDescent="0.25">
      <c r="A65" s="29"/>
      <c r="B65" s="23"/>
      <c r="C65" s="23"/>
      <c r="D65" s="23"/>
    </row>
    <row r="66" spans="1:4" s="3" customFormat="1" x14ac:dyDescent="0.25">
      <c r="A66" s="29"/>
      <c r="B66" s="23"/>
      <c r="C66" s="23"/>
      <c r="D66" s="23"/>
    </row>
    <row r="67" spans="1:4" s="3" customFormat="1" x14ac:dyDescent="0.25">
      <c r="A67" s="29"/>
      <c r="B67" s="23"/>
      <c r="C67" s="23"/>
      <c r="D67" s="23"/>
    </row>
    <row r="68" spans="1:4" s="3" customFormat="1" x14ac:dyDescent="0.25">
      <c r="A68" s="29"/>
      <c r="B68" s="23"/>
      <c r="C68" s="23"/>
      <c r="D68" s="23"/>
    </row>
    <row r="69" spans="1:4" s="3" customFormat="1" x14ac:dyDescent="0.25">
      <c r="A69" s="29"/>
      <c r="B69" s="23"/>
      <c r="C69" s="23"/>
      <c r="D69" s="23"/>
    </row>
    <row r="70" spans="1:4" s="3" customFormat="1" x14ac:dyDescent="0.25">
      <c r="A70" s="29"/>
      <c r="B70" s="23"/>
      <c r="C70" s="23"/>
      <c r="D70" s="23"/>
    </row>
    <row r="71" spans="1:4" s="3" customFormat="1" x14ac:dyDescent="0.25">
      <c r="A71" s="29"/>
      <c r="B71" s="23"/>
      <c r="C71" s="23"/>
      <c r="D71" s="23"/>
    </row>
    <row r="72" spans="1:4" s="3" customFormat="1" x14ac:dyDescent="0.25">
      <c r="B72" s="23"/>
      <c r="C72" s="23"/>
      <c r="D72" s="23"/>
    </row>
    <row r="73" spans="1:4" s="3" customFormat="1" x14ac:dyDescent="0.25">
      <c r="B73" s="23"/>
      <c r="C73" s="23"/>
      <c r="D73" s="23"/>
    </row>
    <row r="74" spans="1:4" s="3" customFormat="1" x14ac:dyDescent="0.25">
      <c r="B74" s="23"/>
      <c r="C74" s="23"/>
      <c r="D74" s="23"/>
    </row>
    <row r="75" spans="1:4" s="3" customFormat="1" x14ac:dyDescent="0.25">
      <c r="B75" s="23"/>
      <c r="C75" s="23"/>
      <c r="D75" s="23"/>
    </row>
    <row r="76" spans="1:4" s="3" customFormat="1" x14ac:dyDescent="0.25">
      <c r="B76" s="23"/>
      <c r="C76" s="23"/>
      <c r="D76" s="23"/>
    </row>
    <row r="77" spans="1:4" s="3" customFormat="1" x14ac:dyDescent="0.25">
      <c r="B77" s="23"/>
      <c r="C77" s="23"/>
      <c r="D77" s="23"/>
    </row>
    <row r="78" spans="1:4" s="3" customFormat="1" x14ac:dyDescent="0.25">
      <c r="B78" s="23"/>
      <c r="C78" s="23"/>
      <c r="D78" s="23"/>
    </row>
    <row r="79" spans="1:4" s="3" customFormat="1" x14ac:dyDescent="0.25">
      <c r="B79" s="23"/>
      <c r="C79" s="23"/>
      <c r="D79" s="23"/>
    </row>
    <row r="80" spans="1:4" s="3" customFormat="1" x14ac:dyDescent="0.25">
      <c r="B80" s="23"/>
      <c r="C80" s="23"/>
      <c r="D80" s="23"/>
    </row>
    <row r="81" spans="1:4" s="3" customFormat="1" x14ac:dyDescent="0.25">
      <c r="B81" s="23"/>
      <c r="C81" s="23"/>
      <c r="D81" s="23"/>
    </row>
    <row r="82" spans="1:4" s="3" customFormat="1" x14ac:dyDescent="0.25">
      <c r="B82" s="23"/>
      <c r="C82" s="23"/>
      <c r="D82" s="23"/>
    </row>
    <row r="83" spans="1:4" s="3" customFormat="1" x14ac:dyDescent="0.25">
      <c r="B83" s="23"/>
      <c r="C83" s="23"/>
      <c r="D83" s="23"/>
    </row>
    <row r="84" spans="1:4" s="3" customFormat="1" x14ac:dyDescent="0.25">
      <c r="B84" s="23"/>
      <c r="C84" s="23"/>
      <c r="D84" s="23"/>
    </row>
    <row r="85" spans="1:4" s="3" customFormat="1" x14ac:dyDescent="0.25">
      <c r="B85" s="23"/>
      <c r="C85" s="23"/>
      <c r="D85" s="23"/>
    </row>
    <row r="86" spans="1:4" s="3" customFormat="1" x14ac:dyDescent="0.25">
      <c r="B86" s="23"/>
      <c r="C86" s="23"/>
      <c r="D86" s="23"/>
    </row>
    <row r="87" spans="1:4" s="3" customFormat="1" x14ac:dyDescent="0.25">
      <c r="B87" s="23"/>
      <c r="C87" s="23"/>
      <c r="D87" s="23"/>
    </row>
    <row r="88" spans="1:4" s="3" customFormat="1" x14ac:dyDescent="0.25">
      <c r="B88" s="23"/>
      <c r="C88" s="23"/>
      <c r="D88" s="23"/>
    </row>
    <row r="89" spans="1:4" s="3" customFormat="1" x14ac:dyDescent="0.25">
      <c r="B89" s="23"/>
      <c r="C89" s="23"/>
      <c r="D89" s="23"/>
    </row>
    <row r="90" spans="1:4" s="3" customFormat="1" x14ac:dyDescent="0.25">
      <c r="B90" s="23"/>
      <c r="C90" s="23"/>
      <c r="D90" s="23"/>
    </row>
    <row r="91" spans="1:4" s="3" customFormat="1" x14ac:dyDescent="0.25">
      <c r="B91" s="23"/>
      <c r="C91" s="23"/>
      <c r="D91" s="23"/>
    </row>
    <row r="92" spans="1:4" s="3" customFormat="1" x14ac:dyDescent="0.25">
      <c r="B92" s="23"/>
      <c r="C92" s="23"/>
      <c r="D92" s="23"/>
    </row>
    <row r="93" spans="1:4" s="3" customFormat="1" x14ac:dyDescent="0.25">
      <c r="B93" s="23"/>
      <c r="C93" s="23"/>
      <c r="D93" s="23"/>
    </row>
    <row r="94" spans="1:4" s="3" customFormat="1" x14ac:dyDescent="0.25">
      <c r="A94" s="23"/>
      <c r="B94" s="23"/>
      <c r="C94" s="23"/>
      <c r="D94" s="23"/>
    </row>
    <row r="95" spans="1:4" x14ac:dyDescent="0.25">
      <c r="A95" s="23"/>
      <c r="B95" s="23"/>
      <c r="C95" s="23"/>
      <c r="D95" s="23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0000FF"/>
  </sheetPr>
  <dimension ref="A1:I197"/>
  <sheetViews>
    <sheetView zoomScale="70" zoomScaleNormal="70" workbookViewId="0">
      <pane ySplit="4" topLeftCell="A5" activePane="bottomLeft" state="frozen"/>
      <selection activeCell="G170" sqref="G170"/>
      <selection pane="bottomLeft" activeCell="F199" sqref="F199"/>
    </sheetView>
  </sheetViews>
  <sheetFormatPr defaultRowHeight="15" x14ac:dyDescent="0.25"/>
  <cols>
    <col min="1" max="6" width="18.5703125" customWidth="1"/>
    <col min="257" max="262" width="18.5703125" customWidth="1"/>
    <col min="513" max="518" width="18.5703125" customWidth="1"/>
    <col min="769" max="774" width="18.5703125" customWidth="1"/>
    <col min="1025" max="1030" width="18.5703125" customWidth="1"/>
    <col min="1281" max="1286" width="18.5703125" customWidth="1"/>
    <col min="1537" max="1542" width="18.5703125" customWidth="1"/>
    <col min="1793" max="1798" width="18.5703125" customWidth="1"/>
    <col min="2049" max="2054" width="18.5703125" customWidth="1"/>
    <col min="2305" max="2310" width="18.5703125" customWidth="1"/>
    <col min="2561" max="2566" width="18.5703125" customWidth="1"/>
    <col min="2817" max="2822" width="18.5703125" customWidth="1"/>
    <col min="3073" max="3078" width="18.5703125" customWidth="1"/>
    <col min="3329" max="3334" width="18.5703125" customWidth="1"/>
    <col min="3585" max="3590" width="18.5703125" customWidth="1"/>
    <col min="3841" max="3846" width="18.5703125" customWidth="1"/>
    <col min="4097" max="4102" width="18.5703125" customWidth="1"/>
    <col min="4353" max="4358" width="18.5703125" customWidth="1"/>
    <col min="4609" max="4614" width="18.5703125" customWidth="1"/>
    <col min="4865" max="4870" width="18.5703125" customWidth="1"/>
    <col min="5121" max="5126" width="18.5703125" customWidth="1"/>
    <col min="5377" max="5382" width="18.5703125" customWidth="1"/>
    <col min="5633" max="5638" width="18.5703125" customWidth="1"/>
    <col min="5889" max="5894" width="18.5703125" customWidth="1"/>
    <col min="6145" max="6150" width="18.5703125" customWidth="1"/>
    <col min="6401" max="6406" width="18.5703125" customWidth="1"/>
    <col min="6657" max="6662" width="18.5703125" customWidth="1"/>
    <col min="6913" max="6918" width="18.5703125" customWidth="1"/>
    <col min="7169" max="7174" width="18.5703125" customWidth="1"/>
    <col min="7425" max="7430" width="18.5703125" customWidth="1"/>
    <col min="7681" max="7686" width="18.5703125" customWidth="1"/>
    <col min="7937" max="7942" width="18.5703125" customWidth="1"/>
    <col min="8193" max="8198" width="18.5703125" customWidth="1"/>
    <col min="8449" max="8454" width="18.5703125" customWidth="1"/>
    <col min="8705" max="8710" width="18.5703125" customWidth="1"/>
    <col min="8961" max="8966" width="18.5703125" customWidth="1"/>
    <col min="9217" max="9222" width="18.5703125" customWidth="1"/>
    <col min="9473" max="9478" width="18.5703125" customWidth="1"/>
    <col min="9729" max="9734" width="18.5703125" customWidth="1"/>
    <col min="9985" max="9990" width="18.5703125" customWidth="1"/>
    <col min="10241" max="10246" width="18.5703125" customWidth="1"/>
    <col min="10497" max="10502" width="18.5703125" customWidth="1"/>
    <col min="10753" max="10758" width="18.5703125" customWidth="1"/>
    <col min="11009" max="11014" width="18.5703125" customWidth="1"/>
    <col min="11265" max="11270" width="18.5703125" customWidth="1"/>
    <col min="11521" max="11526" width="18.5703125" customWidth="1"/>
    <col min="11777" max="11782" width="18.5703125" customWidth="1"/>
    <col min="12033" max="12038" width="18.5703125" customWidth="1"/>
    <col min="12289" max="12294" width="18.5703125" customWidth="1"/>
    <col min="12545" max="12550" width="18.5703125" customWidth="1"/>
    <col min="12801" max="12806" width="18.5703125" customWidth="1"/>
    <col min="13057" max="13062" width="18.5703125" customWidth="1"/>
    <col min="13313" max="13318" width="18.5703125" customWidth="1"/>
    <col min="13569" max="13574" width="18.5703125" customWidth="1"/>
    <col min="13825" max="13830" width="18.5703125" customWidth="1"/>
    <col min="14081" max="14086" width="18.5703125" customWidth="1"/>
    <col min="14337" max="14342" width="18.5703125" customWidth="1"/>
    <col min="14593" max="14598" width="18.5703125" customWidth="1"/>
    <col min="14849" max="14854" width="18.5703125" customWidth="1"/>
    <col min="15105" max="15110" width="18.5703125" customWidth="1"/>
    <col min="15361" max="15366" width="18.5703125" customWidth="1"/>
    <col min="15617" max="15622" width="18.5703125" customWidth="1"/>
    <col min="15873" max="15878" width="18.5703125" customWidth="1"/>
    <col min="16129" max="16134" width="18.5703125" customWidth="1"/>
  </cols>
  <sheetData>
    <row r="1" spans="1:9" ht="21" x14ac:dyDescent="0.35">
      <c r="A1" s="248" t="s">
        <v>20</v>
      </c>
      <c r="B1" s="248"/>
      <c r="C1" s="248"/>
      <c r="D1" s="248"/>
      <c r="E1" s="248"/>
      <c r="F1" s="248"/>
    </row>
    <row r="3" spans="1:9" x14ac:dyDescent="0.25">
      <c r="A3" s="2">
        <v>0.2</v>
      </c>
      <c r="B3" s="2">
        <v>0.1</v>
      </c>
      <c r="C3" s="2">
        <v>0.05</v>
      </c>
      <c r="D3" s="2">
        <v>0.02</v>
      </c>
      <c r="E3" s="2">
        <v>0.01</v>
      </c>
      <c r="F3" s="3" t="s">
        <v>21</v>
      </c>
    </row>
    <row r="4" spans="1:9" x14ac:dyDescent="0.25">
      <c r="A4" s="4" t="s">
        <v>22</v>
      </c>
      <c r="B4" s="4" t="s">
        <v>23</v>
      </c>
      <c r="C4" s="4" t="s">
        <v>24</v>
      </c>
      <c r="D4" s="4" t="s">
        <v>25</v>
      </c>
      <c r="E4" s="4" t="s">
        <v>26</v>
      </c>
      <c r="F4" s="4" t="s">
        <v>27</v>
      </c>
    </row>
    <row r="5" spans="1:9" x14ac:dyDescent="0.25">
      <c r="A5" s="249">
        <v>100</v>
      </c>
      <c r="B5" s="250">
        <v>100</v>
      </c>
      <c r="C5" s="245">
        <v>100</v>
      </c>
      <c r="D5" s="246">
        <v>100</v>
      </c>
      <c r="E5" s="247">
        <v>100</v>
      </c>
      <c r="F5" s="5">
        <v>100</v>
      </c>
    </row>
    <row r="6" spans="1:9" x14ac:dyDescent="0.25">
      <c r="A6" s="249"/>
      <c r="B6" s="250"/>
      <c r="C6" s="245"/>
      <c r="D6" s="246"/>
      <c r="E6" s="247"/>
      <c r="F6" s="5">
        <v>101</v>
      </c>
    </row>
    <row r="7" spans="1:9" x14ac:dyDescent="0.25">
      <c r="A7" s="249"/>
      <c r="B7" s="250"/>
      <c r="C7" s="245"/>
      <c r="D7" s="246"/>
      <c r="E7" s="247">
        <v>102</v>
      </c>
      <c r="F7" s="5">
        <v>102</v>
      </c>
    </row>
    <row r="8" spans="1:9" x14ac:dyDescent="0.25">
      <c r="A8" s="249"/>
      <c r="B8" s="250"/>
      <c r="C8" s="245"/>
      <c r="D8" s="246"/>
      <c r="E8" s="247"/>
      <c r="F8" s="5">
        <v>104</v>
      </c>
    </row>
    <row r="9" spans="1:9" x14ac:dyDescent="0.25">
      <c r="A9" s="249"/>
      <c r="B9" s="250"/>
      <c r="C9" s="245"/>
      <c r="D9" s="246">
        <v>105</v>
      </c>
      <c r="E9" s="247">
        <v>105</v>
      </c>
      <c r="F9" s="5">
        <v>105</v>
      </c>
    </row>
    <row r="10" spans="1:9" x14ac:dyDescent="0.25">
      <c r="A10" s="249"/>
      <c r="B10" s="250"/>
      <c r="C10" s="245"/>
      <c r="D10" s="246"/>
      <c r="E10" s="247"/>
      <c r="F10" s="5">
        <v>106</v>
      </c>
      <c r="I10" s="1"/>
    </row>
    <row r="11" spans="1:9" x14ac:dyDescent="0.25">
      <c r="A11" s="249"/>
      <c r="B11" s="250"/>
      <c r="C11" s="245"/>
      <c r="D11" s="246"/>
      <c r="E11" s="247">
        <v>107</v>
      </c>
      <c r="F11" s="5">
        <v>107</v>
      </c>
    </row>
    <row r="12" spans="1:9" x14ac:dyDescent="0.25">
      <c r="A12" s="249"/>
      <c r="B12" s="250"/>
      <c r="C12" s="245"/>
      <c r="D12" s="246"/>
      <c r="E12" s="247"/>
      <c r="F12" s="5">
        <v>109</v>
      </c>
    </row>
    <row r="13" spans="1:9" x14ac:dyDescent="0.25">
      <c r="A13" s="249"/>
      <c r="B13" s="250"/>
      <c r="C13" s="245">
        <v>110</v>
      </c>
      <c r="D13" s="246">
        <v>110</v>
      </c>
      <c r="E13" s="247">
        <v>110</v>
      </c>
      <c r="F13" s="5">
        <v>110</v>
      </c>
    </row>
    <row r="14" spans="1:9" x14ac:dyDescent="0.25">
      <c r="A14" s="249"/>
      <c r="B14" s="250"/>
      <c r="C14" s="245"/>
      <c r="D14" s="246"/>
      <c r="E14" s="247"/>
      <c r="F14" s="5">
        <v>111</v>
      </c>
    </row>
    <row r="15" spans="1:9" x14ac:dyDescent="0.25">
      <c r="A15" s="249"/>
      <c r="B15" s="250"/>
      <c r="C15" s="245"/>
      <c r="D15" s="246"/>
      <c r="E15" s="247">
        <v>113</v>
      </c>
      <c r="F15" s="5">
        <v>113</v>
      </c>
    </row>
    <row r="16" spans="1:9" x14ac:dyDescent="0.25">
      <c r="A16" s="249"/>
      <c r="B16" s="250"/>
      <c r="C16" s="245"/>
      <c r="D16" s="246"/>
      <c r="E16" s="247"/>
      <c r="F16" s="5">
        <v>114</v>
      </c>
    </row>
    <row r="17" spans="1:6" x14ac:dyDescent="0.25">
      <c r="A17" s="249"/>
      <c r="B17" s="250"/>
      <c r="C17" s="245"/>
      <c r="D17" s="246">
        <v>115</v>
      </c>
      <c r="E17" s="247">
        <v>115</v>
      </c>
      <c r="F17" s="5">
        <v>115</v>
      </c>
    </row>
    <row r="18" spans="1:6" x14ac:dyDescent="0.25">
      <c r="A18" s="249"/>
      <c r="B18" s="250"/>
      <c r="C18" s="245"/>
      <c r="D18" s="246"/>
      <c r="E18" s="247"/>
      <c r="F18" s="5">
        <v>117</v>
      </c>
    </row>
    <row r="19" spans="1:6" x14ac:dyDescent="0.25">
      <c r="A19" s="249"/>
      <c r="B19" s="250"/>
      <c r="C19" s="245"/>
      <c r="D19" s="246"/>
      <c r="E19" s="247">
        <v>118</v>
      </c>
      <c r="F19" s="5">
        <v>118</v>
      </c>
    </row>
    <row r="20" spans="1:6" x14ac:dyDescent="0.25">
      <c r="A20" s="249"/>
      <c r="B20" s="250"/>
      <c r="C20" s="245"/>
      <c r="D20" s="246"/>
      <c r="E20" s="247"/>
      <c r="F20" s="5">
        <v>120</v>
      </c>
    </row>
    <row r="21" spans="1:6" x14ac:dyDescent="0.25">
      <c r="A21" s="249"/>
      <c r="B21" s="250">
        <v>120</v>
      </c>
      <c r="C21" s="245">
        <v>120</v>
      </c>
      <c r="D21" s="246">
        <v>121</v>
      </c>
      <c r="E21" s="247">
        <v>121</v>
      </c>
      <c r="F21" s="5">
        <v>121</v>
      </c>
    </row>
    <row r="22" spans="1:6" x14ac:dyDescent="0.25">
      <c r="A22" s="249"/>
      <c r="B22" s="250"/>
      <c r="C22" s="245"/>
      <c r="D22" s="246"/>
      <c r="E22" s="247"/>
      <c r="F22" s="5">
        <v>123</v>
      </c>
    </row>
    <row r="23" spans="1:6" x14ac:dyDescent="0.25">
      <c r="A23" s="249"/>
      <c r="B23" s="250"/>
      <c r="C23" s="245"/>
      <c r="D23" s="246"/>
      <c r="E23" s="247">
        <v>124</v>
      </c>
      <c r="F23" s="5">
        <v>124</v>
      </c>
    </row>
    <row r="24" spans="1:6" x14ac:dyDescent="0.25">
      <c r="A24" s="249"/>
      <c r="B24" s="250"/>
      <c r="C24" s="245"/>
      <c r="D24" s="246"/>
      <c r="E24" s="247"/>
      <c r="F24" s="5">
        <v>126</v>
      </c>
    </row>
    <row r="25" spans="1:6" x14ac:dyDescent="0.25">
      <c r="A25" s="249"/>
      <c r="B25" s="250"/>
      <c r="C25" s="245"/>
      <c r="D25" s="246">
        <v>127</v>
      </c>
      <c r="E25" s="247">
        <v>127</v>
      </c>
      <c r="F25" s="5">
        <v>127</v>
      </c>
    </row>
    <row r="26" spans="1:6" x14ac:dyDescent="0.25">
      <c r="A26" s="249"/>
      <c r="B26" s="250"/>
      <c r="C26" s="245"/>
      <c r="D26" s="246"/>
      <c r="E26" s="247"/>
      <c r="F26" s="5">
        <v>129</v>
      </c>
    </row>
    <row r="27" spans="1:6" x14ac:dyDescent="0.25">
      <c r="A27" s="249"/>
      <c r="B27" s="250"/>
      <c r="C27" s="245"/>
      <c r="D27" s="246"/>
      <c r="E27" s="247">
        <v>130</v>
      </c>
      <c r="F27" s="5">
        <v>130</v>
      </c>
    </row>
    <row r="28" spans="1:6" x14ac:dyDescent="0.25">
      <c r="A28" s="249"/>
      <c r="B28" s="250"/>
      <c r="C28" s="245"/>
      <c r="D28" s="246"/>
      <c r="E28" s="247"/>
      <c r="F28" s="5">
        <v>132</v>
      </c>
    </row>
    <row r="29" spans="1:6" x14ac:dyDescent="0.25">
      <c r="A29" s="249"/>
      <c r="B29" s="250"/>
      <c r="C29" s="245">
        <v>130</v>
      </c>
      <c r="D29" s="246">
        <v>133</v>
      </c>
      <c r="E29" s="247">
        <v>133</v>
      </c>
      <c r="F29" s="5">
        <v>133</v>
      </c>
    </row>
    <row r="30" spans="1:6" x14ac:dyDescent="0.25">
      <c r="A30" s="249"/>
      <c r="B30" s="250"/>
      <c r="C30" s="245"/>
      <c r="D30" s="246"/>
      <c r="E30" s="247"/>
      <c r="F30" s="5">
        <v>135</v>
      </c>
    </row>
    <row r="31" spans="1:6" x14ac:dyDescent="0.25">
      <c r="A31" s="249"/>
      <c r="B31" s="250"/>
      <c r="C31" s="245"/>
      <c r="D31" s="246"/>
      <c r="E31" s="247">
        <v>137</v>
      </c>
      <c r="F31" s="5">
        <v>137</v>
      </c>
    </row>
    <row r="32" spans="1:6" x14ac:dyDescent="0.25">
      <c r="A32" s="249"/>
      <c r="B32" s="250"/>
      <c r="C32" s="245"/>
      <c r="D32" s="246"/>
      <c r="E32" s="247"/>
      <c r="F32" s="5">
        <v>138</v>
      </c>
    </row>
    <row r="33" spans="1:6" x14ac:dyDescent="0.25">
      <c r="A33" s="249"/>
      <c r="B33" s="250"/>
      <c r="C33" s="245"/>
      <c r="D33" s="246">
        <v>140</v>
      </c>
      <c r="E33" s="247">
        <v>140</v>
      </c>
      <c r="F33" s="5">
        <v>140</v>
      </c>
    </row>
    <row r="34" spans="1:6" x14ac:dyDescent="0.25">
      <c r="A34" s="249"/>
      <c r="B34" s="250"/>
      <c r="C34" s="245"/>
      <c r="D34" s="246"/>
      <c r="E34" s="247"/>
      <c r="F34" s="5">
        <v>142</v>
      </c>
    </row>
    <row r="35" spans="1:6" x14ac:dyDescent="0.25">
      <c r="A35" s="249"/>
      <c r="B35" s="250"/>
      <c r="C35" s="245"/>
      <c r="D35" s="246"/>
      <c r="E35" s="247">
        <v>143</v>
      </c>
      <c r="F35" s="5">
        <v>143</v>
      </c>
    </row>
    <row r="36" spans="1:6" x14ac:dyDescent="0.25">
      <c r="A36" s="249"/>
      <c r="B36" s="250"/>
      <c r="C36" s="245"/>
      <c r="D36" s="246"/>
      <c r="E36" s="247"/>
      <c r="F36" s="5">
        <v>145</v>
      </c>
    </row>
    <row r="37" spans="1:6" x14ac:dyDescent="0.25">
      <c r="A37" s="249">
        <v>150</v>
      </c>
      <c r="B37" s="250">
        <v>150</v>
      </c>
      <c r="C37" s="245">
        <v>150</v>
      </c>
      <c r="D37" s="246">
        <v>147</v>
      </c>
      <c r="E37" s="247">
        <v>147</v>
      </c>
      <c r="F37" s="5">
        <v>147</v>
      </c>
    </row>
    <row r="38" spans="1:6" x14ac:dyDescent="0.25">
      <c r="A38" s="249"/>
      <c r="B38" s="250"/>
      <c r="C38" s="245"/>
      <c r="D38" s="246"/>
      <c r="E38" s="247"/>
      <c r="F38" s="5">
        <v>149</v>
      </c>
    </row>
    <row r="39" spans="1:6" x14ac:dyDescent="0.25">
      <c r="A39" s="249"/>
      <c r="B39" s="250"/>
      <c r="C39" s="245"/>
      <c r="D39" s="246"/>
      <c r="E39" s="247">
        <v>150</v>
      </c>
      <c r="F39" s="5">
        <v>150</v>
      </c>
    </row>
    <row r="40" spans="1:6" x14ac:dyDescent="0.25">
      <c r="A40" s="249"/>
      <c r="B40" s="250"/>
      <c r="C40" s="245"/>
      <c r="D40" s="246"/>
      <c r="E40" s="247"/>
      <c r="F40" s="5">
        <v>152</v>
      </c>
    </row>
    <row r="41" spans="1:6" x14ac:dyDescent="0.25">
      <c r="A41" s="249"/>
      <c r="B41" s="250"/>
      <c r="C41" s="245"/>
      <c r="D41" s="246">
        <v>154</v>
      </c>
      <c r="E41" s="247">
        <v>154</v>
      </c>
      <c r="F41" s="5">
        <v>154</v>
      </c>
    </row>
    <row r="42" spans="1:6" x14ac:dyDescent="0.25">
      <c r="A42" s="249"/>
      <c r="B42" s="250"/>
      <c r="C42" s="245"/>
      <c r="D42" s="246"/>
      <c r="E42" s="247"/>
      <c r="F42" s="5">
        <v>156</v>
      </c>
    </row>
    <row r="43" spans="1:6" x14ac:dyDescent="0.25">
      <c r="A43" s="249"/>
      <c r="B43" s="250"/>
      <c r="C43" s="245"/>
      <c r="D43" s="246"/>
      <c r="E43" s="247">
        <v>158</v>
      </c>
      <c r="F43" s="5">
        <v>158</v>
      </c>
    </row>
    <row r="44" spans="1:6" x14ac:dyDescent="0.25">
      <c r="A44" s="249"/>
      <c r="B44" s="250"/>
      <c r="C44" s="245"/>
      <c r="D44" s="246"/>
      <c r="E44" s="247"/>
      <c r="F44" s="5">
        <v>160</v>
      </c>
    </row>
    <row r="45" spans="1:6" x14ac:dyDescent="0.25">
      <c r="A45" s="249"/>
      <c r="B45" s="250"/>
      <c r="C45" s="245">
        <v>160</v>
      </c>
      <c r="D45" s="246">
        <v>162</v>
      </c>
      <c r="E45" s="247">
        <v>162</v>
      </c>
      <c r="F45" s="5">
        <v>162</v>
      </c>
    </row>
    <row r="46" spans="1:6" x14ac:dyDescent="0.25">
      <c r="A46" s="249"/>
      <c r="B46" s="250"/>
      <c r="C46" s="245"/>
      <c r="D46" s="246"/>
      <c r="E46" s="247"/>
      <c r="F46" s="5">
        <v>164</v>
      </c>
    </row>
    <row r="47" spans="1:6" x14ac:dyDescent="0.25">
      <c r="A47" s="249"/>
      <c r="B47" s="250"/>
      <c r="C47" s="245"/>
      <c r="D47" s="246"/>
      <c r="E47" s="247">
        <v>165</v>
      </c>
      <c r="F47" s="5">
        <v>165</v>
      </c>
    </row>
    <row r="48" spans="1:6" x14ac:dyDescent="0.25">
      <c r="A48" s="249"/>
      <c r="B48" s="250"/>
      <c r="C48" s="245"/>
      <c r="D48" s="246"/>
      <c r="E48" s="247"/>
      <c r="F48" s="5">
        <v>167</v>
      </c>
    </row>
    <row r="49" spans="1:6" x14ac:dyDescent="0.25">
      <c r="A49" s="249"/>
      <c r="B49" s="250"/>
      <c r="C49" s="245"/>
      <c r="D49" s="246">
        <v>169</v>
      </c>
      <c r="E49" s="247">
        <v>169</v>
      </c>
      <c r="F49" s="5">
        <v>169</v>
      </c>
    </row>
    <row r="50" spans="1:6" x14ac:dyDescent="0.25">
      <c r="A50" s="249"/>
      <c r="B50" s="250"/>
      <c r="C50" s="245"/>
      <c r="D50" s="246"/>
      <c r="E50" s="247"/>
      <c r="F50" s="5">
        <v>172</v>
      </c>
    </row>
    <row r="51" spans="1:6" x14ac:dyDescent="0.25">
      <c r="A51" s="249"/>
      <c r="B51" s="250"/>
      <c r="C51" s="245"/>
      <c r="D51" s="246"/>
      <c r="E51" s="247">
        <v>174</v>
      </c>
      <c r="F51" s="5">
        <v>174</v>
      </c>
    </row>
    <row r="52" spans="1:6" x14ac:dyDescent="0.25">
      <c r="A52" s="249"/>
      <c r="B52" s="250"/>
      <c r="C52" s="245"/>
      <c r="D52" s="246"/>
      <c r="E52" s="247"/>
      <c r="F52" s="5">
        <v>176</v>
      </c>
    </row>
    <row r="53" spans="1:6" x14ac:dyDescent="0.25">
      <c r="A53" s="249"/>
      <c r="B53" s="250">
        <v>180</v>
      </c>
      <c r="C53" s="245">
        <v>180</v>
      </c>
      <c r="D53" s="246">
        <v>178</v>
      </c>
      <c r="E53" s="247">
        <v>178</v>
      </c>
      <c r="F53" s="5">
        <v>178</v>
      </c>
    </row>
    <row r="54" spans="1:6" x14ac:dyDescent="0.25">
      <c r="A54" s="249"/>
      <c r="B54" s="250"/>
      <c r="C54" s="245"/>
      <c r="D54" s="246"/>
      <c r="E54" s="247"/>
      <c r="F54" s="5">
        <v>180</v>
      </c>
    </row>
    <row r="55" spans="1:6" x14ac:dyDescent="0.25">
      <c r="A55" s="249"/>
      <c r="B55" s="250"/>
      <c r="C55" s="245"/>
      <c r="D55" s="246"/>
      <c r="E55" s="247">
        <v>182</v>
      </c>
      <c r="F55" s="5">
        <v>182</v>
      </c>
    </row>
    <row r="56" spans="1:6" x14ac:dyDescent="0.25">
      <c r="A56" s="249"/>
      <c r="B56" s="250"/>
      <c r="C56" s="245"/>
      <c r="D56" s="246"/>
      <c r="E56" s="247"/>
      <c r="F56" s="5">
        <v>184</v>
      </c>
    </row>
    <row r="57" spans="1:6" x14ac:dyDescent="0.25">
      <c r="A57" s="249"/>
      <c r="B57" s="250"/>
      <c r="C57" s="245"/>
      <c r="D57" s="246">
        <v>187</v>
      </c>
      <c r="E57" s="247">
        <v>187</v>
      </c>
      <c r="F57" s="5">
        <v>187</v>
      </c>
    </row>
    <row r="58" spans="1:6" x14ac:dyDescent="0.25">
      <c r="A58" s="249"/>
      <c r="B58" s="250"/>
      <c r="C58" s="245"/>
      <c r="D58" s="246"/>
      <c r="E58" s="247"/>
      <c r="F58" s="5">
        <v>189</v>
      </c>
    </row>
    <row r="59" spans="1:6" x14ac:dyDescent="0.25">
      <c r="A59" s="249"/>
      <c r="B59" s="250"/>
      <c r="C59" s="245"/>
      <c r="D59" s="246"/>
      <c r="E59" s="247">
        <v>191</v>
      </c>
      <c r="F59" s="5">
        <v>191</v>
      </c>
    </row>
    <row r="60" spans="1:6" x14ac:dyDescent="0.25">
      <c r="A60" s="249"/>
      <c r="B60" s="250"/>
      <c r="C60" s="245"/>
      <c r="D60" s="246"/>
      <c r="E60" s="247"/>
      <c r="F60" s="5">
        <v>193</v>
      </c>
    </row>
    <row r="61" spans="1:6" x14ac:dyDescent="0.25">
      <c r="A61" s="249"/>
      <c r="B61" s="250"/>
      <c r="C61" s="245">
        <v>200</v>
      </c>
      <c r="D61" s="246">
        <v>196</v>
      </c>
      <c r="E61" s="247">
        <v>196</v>
      </c>
      <c r="F61" s="5">
        <v>196</v>
      </c>
    </row>
    <row r="62" spans="1:6" x14ac:dyDescent="0.25">
      <c r="A62" s="249"/>
      <c r="B62" s="250"/>
      <c r="C62" s="245"/>
      <c r="D62" s="246"/>
      <c r="E62" s="247"/>
      <c r="F62" s="5">
        <v>198</v>
      </c>
    </row>
    <row r="63" spans="1:6" x14ac:dyDescent="0.25">
      <c r="A63" s="249"/>
      <c r="B63" s="250"/>
      <c r="C63" s="245"/>
      <c r="D63" s="246"/>
      <c r="E63" s="247">
        <v>200</v>
      </c>
      <c r="F63" s="5">
        <v>200</v>
      </c>
    </row>
    <row r="64" spans="1:6" x14ac:dyDescent="0.25">
      <c r="A64" s="249"/>
      <c r="B64" s="250"/>
      <c r="C64" s="245"/>
      <c r="D64" s="246"/>
      <c r="E64" s="247"/>
      <c r="F64" s="5">
        <v>203</v>
      </c>
    </row>
    <row r="65" spans="1:6" x14ac:dyDescent="0.25">
      <c r="A65" s="249"/>
      <c r="B65" s="250"/>
      <c r="C65" s="245"/>
      <c r="D65" s="246">
        <v>205</v>
      </c>
      <c r="E65" s="247">
        <v>205</v>
      </c>
      <c r="F65" s="5">
        <v>205</v>
      </c>
    </row>
    <row r="66" spans="1:6" x14ac:dyDescent="0.25">
      <c r="A66" s="249"/>
      <c r="B66" s="250"/>
      <c r="C66" s="245"/>
      <c r="D66" s="246"/>
      <c r="E66" s="247"/>
      <c r="F66" s="5">
        <v>208</v>
      </c>
    </row>
    <row r="67" spans="1:6" x14ac:dyDescent="0.25">
      <c r="A67" s="249"/>
      <c r="B67" s="250"/>
      <c r="C67" s="245"/>
      <c r="D67" s="246"/>
      <c r="E67" s="247">
        <v>210</v>
      </c>
      <c r="F67" s="5">
        <v>210</v>
      </c>
    </row>
    <row r="68" spans="1:6" x14ac:dyDescent="0.25">
      <c r="A68" s="249"/>
      <c r="B68" s="250"/>
      <c r="C68" s="245"/>
      <c r="D68" s="246"/>
      <c r="E68" s="247"/>
      <c r="F68" s="5">
        <v>213</v>
      </c>
    </row>
    <row r="69" spans="1:6" x14ac:dyDescent="0.25">
      <c r="A69" s="249">
        <v>220</v>
      </c>
      <c r="B69" s="250">
        <v>220</v>
      </c>
      <c r="C69" s="245">
        <v>220</v>
      </c>
      <c r="D69" s="246">
        <v>215</v>
      </c>
      <c r="E69" s="247">
        <v>215</v>
      </c>
      <c r="F69" s="5">
        <v>215</v>
      </c>
    </row>
    <row r="70" spans="1:6" x14ac:dyDescent="0.25">
      <c r="A70" s="249"/>
      <c r="B70" s="250"/>
      <c r="C70" s="245"/>
      <c r="D70" s="246"/>
      <c r="E70" s="247"/>
      <c r="F70" s="5">
        <v>218</v>
      </c>
    </row>
    <row r="71" spans="1:6" x14ac:dyDescent="0.25">
      <c r="A71" s="249"/>
      <c r="B71" s="250"/>
      <c r="C71" s="245"/>
      <c r="D71" s="246"/>
      <c r="E71" s="247">
        <v>221</v>
      </c>
      <c r="F71" s="5">
        <v>221</v>
      </c>
    </row>
    <row r="72" spans="1:6" x14ac:dyDescent="0.25">
      <c r="A72" s="249"/>
      <c r="B72" s="250"/>
      <c r="C72" s="245"/>
      <c r="D72" s="246"/>
      <c r="E72" s="247"/>
      <c r="F72" s="5">
        <v>223</v>
      </c>
    </row>
    <row r="73" spans="1:6" x14ac:dyDescent="0.25">
      <c r="A73" s="249"/>
      <c r="B73" s="250"/>
      <c r="C73" s="245"/>
      <c r="D73" s="246">
        <v>226</v>
      </c>
      <c r="E73" s="247">
        <v>226</v>
      </c>
      <c r="F73" s="5">
        <v>226</v>
      </c>
    </row>
    <row r="74" spans="1:6" x14ac:dyDescent="0.25">
      <c r="A74" s="249"/>
      <c r="B74" s="250"/>
      <c r="C74" s="245"/>
      <c r="D74" s="246"/>
      <c r="E74" s="247"/>
      <c r="F74" s="5">
        <v>229</v>
      </c>
    </row>
    <row r="75" spans="1:6" x14ac:dyDescent="0.25">
      <c r="A75" s="249"/>
      <c r="B75" s="250"/>
      <c r="C75" s="245"/>
      <c r="D75" s="246"/>
      <c r="E75" s="247">
        <v>232</v>
      </c>
      <c r="F75" s="5">
        <v>232</v>
      </c>
    </row>
    <row r="76" spans="1:6" x14ac:dyDescent="0.25">
      <c r="A76" s="249"/>
      <c r="B76" s="250"/>
      <c r="C76" s="245"/>
      <c r="D76" s="246"/>
      <c r="E76" s="247"/>
      <c r="F76" s="5">
        <v>234</v>
      </c>
    </row>
    <row r="77" spans="1:6" x14ac:dyDescent="0.25">
      <c r="A77" s="249"/>
      <c r="B77" s="250"/>
      <c r="C77" s="245">
        <v>240</v>
      </c>
      <c r="D77" s="246">
        <v>237</v>
      </c>
      <c r="E77" s="247">
        <v>237</v>
      </c>
      <c r="F77" s="5">
        <v>237</v>
      </c>
    </row>
    <row r="78" spans="1:6" x14ac:dyDescent="0.25">
      <c r="A78" s="249"/>
      <c r="B78" s="250"/>
      <c r="C78" s="245"/>
      <c r="D78" s="246"/>
      <c r="E78" s="247"/>
      <c r="F78" s="5">
        <v>240</v>
      </c>
    </row>
    <row r="79" spans="1:6" x14ac:dyDescent="0.25">
      <c r="A79" s="249"/>
      <c r="B79" s="250"/>
      <c r="C79" s="245"/>
      <c r="D79" s="246"/>
      <c r="E79" s="247">
        <v>243</v>
      </c>
      <c r="F79" s="5">
        <v>243</v>
      </c>
    </row>
    <row r="80" spans="1:6" x14ac:dyDescent="0.25">
      <c r="A80" s="249"/>
      <c r="B80" s="250"/>
      <c r="C80" s="245"/>
      <c r="D80" s="246"/>
      <c r="E80" s="247"/>
      <c r="F80" s="5">
        <v>246</v>
      </c>
    </row>
    <row r="81" spans="1:6" x14ac:dyDescent="0.25">
      <c r="A81" s="249"/>
      <c r="B81" s="250"/>
      <c r="C81" s="245"/>
      <c r="D81" s="246">
        <v>249</v>
      </c>
      <c r="E81" s="247">
        <v>249</v>
      </c>
      <c r="F81" s="5">
        <v>249</v>
      </c>
    </row>
    <row r="82" spans="1:6" x14ac:dyDescent="0.25">
      <c r="A82" s="249"/>
      <c r="B82" s="250"/>
      <c r="C82" s="245"/>
      <c r="D82" s="246"/>
      <c r="E82" s="247"/>
      <c r="F82" s="5">
        <v>252</v>
      </c>
    </row>
    <row r="83" spans="1:6" x14ac:dyDescent="0.25">
      <c r="A83" s="249"/>
      <c r="B83" s="250"/>
      <c r="C83" s="245"/>
      <c r="D83" s="246"/>
      <c r="E83" s="247">
        <v>255</v>
      </c>
      <c r="F83" s="5">
        <v>255</v>
      </c>
    </row>
    <row r="84" spans="1:6" x14ac:dyDescent="0.25">
      <c r="A84" s="249"/>
      <c r="B84" s="250"/>
      <c r="C84" s="245"/>
      <c r="D84" s="246"/>
      <c r="E84" s="247"/>
      <c r="F84" s="5">
        <v>258</v>
      </c>
    </row>
    <row r="85" spans="1:6" x14ac:dyDescent="0.25">
      <c r="A85" s="249"/>
      <c r="B85" s="250">
        <v>270</v>
      </c>
      <c r="C85" s="245">
        <v>270</v>
      </c>
      <c r="D85" s="246">
        <v>261</v>
      </c>
      <c r="E85" s="247">
        <v>261</v>
      </c>
      <c r="F85" s="5">
        <v>261</v>
      </c>
    </row>
    <row r="86" spans="1:6" x14ac:dyDescent="0.25">
      <c r="A86" s="249"/>
      <c r="B86" s="250"/>
      <c r="C86" s="245"/>
      <c r="D86" s="246"/>
      <c r="E86" s="247"/>
      <c r="F86" s="5">
        <v>264</v>
      </c>
    </row>
    <row r="87" spans="1:6" x14ac:dyDescent="0.25">
      <c r="A87" s="249"/>
      <c r="B87" s="250"/>
      <c r="C87" s="245"/>
      <c r="D87" s="246"/>
      <c r="E87" s="247">
        <v>267</v>
      </c>
      <c r="F87" s="5">
        <v>267</v>
      </c>
    </row>
    <row r="88" spans="1:6" x14ac:dyDescent="0.25">
      <c r="A88" s="249"/>
      <c r="B88" s="250"/>
      <c r="C88" s="245"/>
      <c r="D88" s="246"/>
      <c r="E88" s="247"/>
      <c r="F88" s="5">
        <v>271</v>
      </c>
    </row>
    <row r="89" spans="1:6" x14ac:dyDescent="0.25">
      <c r="A89" s="249"/>
      <c r="B89" s="250"/>
      <c r="C89" s="245"/>
      <c r="D89" s="246">
        <v>274</v>
      </c>
      <c r="E89" s="247">
        <v>274</v>
      </c>
      <c r="F89" s="5">
        <v>274</v>
      </c>
    </row>
    <row r="90" spans="1:6" x14ac:dyDescent="0.25">
      <c r="A90" s="249"/>
      <c r="B90" s="250"/>
      <c r="C90" s="245"/>
      <c r="D90" s="246"/>
      <c r="E90" s="247"/>
      <c r="F90" s="5">
        <v>277</v>
      </c>
    </row>
    <row r="91" spans="1:6" x14ac:dyDescent="0.25">
      <c r="A91" s="249"/>
      <c r="B91" s="250"/>
      <c r="C91" s="245"/>
      <c r="D91" s="246"/>
      <c r="E91" s="247">
        <v>280</v>
      </c>
      <c r="F91" s="5">
        <v>280</v>
      </c>
    </row>
    <row r="92" spans="1:6" x14ac:dyDescent="0.25">
      <c r="A92" s="249"/>
      <c r="B92" s="250"/>
      <c r="C92" s="245"/>
      <c r="D92" s="246"/>
      <c r="E92" s="247"/>
      <c r="F92" s="5">
        <v>284</v>
      </c>
    </row>
    <row r="93" spans="1:6" x14ac:dyDescent="0.25">
      <c r="A93" s="249"/>
      <c r="B93" s="250"/>
      <c r="C93" s="245">
        <v>300</v>
      </c>
      <c r="D93" s="246">
        <v>287</v>
      </c>
      <c r="E93" s="247">
        <v>287</v>
      </c>
      <c r="F93" s="5">
        <v>287</v>
      </c>
    </row>
    <row r="94" spans="1:6" x14ac:dyDescent="0.25">
      <c r="A94" s="249"/>
      <c r="B94" s="250"/>
      <c r="C94" s="245"/>
      <c r="D94" s="246"/>
      <c r="E94" s="247"/>
      <c r="F94" s="5">
        <v>291</v>
      </c>
    </row>
    <row r="95" spans="1:6" x14ac:dyDescent="0.25">
      <c r="A95" s="249"/>
      <c r="B95" s="250"/>
      <c r="C95" s="245"/>
      <c r="D95" s="246"/>
      <c r="E95" s="247">
        <v>294</v>
      </c>
      <c r="F95" s="5">
        <v>294</v>
      </c>
    </row>
    <row r="96" spans="1:6" x14ac:dyDescent="0.25">
      <c r="A96" s="249"/>
      <c r="B96" s="250"/>
      <c r="C96" s="245"/>
      <c r="D96" s="246"/>
      <c r="E96" s="247"/>
      <c r="F96" s="5">
        <v>298</v>
      </c>
    </row>
    <row r="97" spans="1:6" x14ac:dyDescent="0.25">
      <c r="A97" s="249"/>
      <c r="B97" s="250"/>
      <c r="C97" s="245"/>
      <c r="D97" s="246">
        <v>301</v>
      </c>
      <c r="E97" s="247">
        <v>301</v>
      </c>
      <c r="F97" s="5">
        <v>301</v>
      </c>
    </row>
    <row r="98" spans="1:6" x14ac:dyDescent="0.25">
      <c r="A98" s="249"/>
      <c r="B98" s="250"/>
      <c r="C98" s="245"/>
      <c r="D98" s="246"/>
      <c r="E98" s="247"/>
      <c r="F98" s="5">
        <v>305</v>
      </c>
    </row>
    <row r="99" spans="1:6" x14ac:dyDescent="0.25">
      <c r="A99" s="249"/>
      <c r="B99" s="250"/>
      <c r="C99" s="245"/>
      <c r="D99" s="246"/>
      <c r="E99" s="247">
        <v>309</v>
      </c>
      <c r="F99" s="5">
        <v>309</v>
      </c>
    </row>
    <row r="100" spans="1:6" x14ac:dyDescent="0.25">
      <c r="A100" s="249"/>
      <c r="B100" s="250"/>
      <c r="C100" s="245"/>
      <c r="D100" s="246"/>
      <c r="E100" s="247"/>
      <c r="F100" s="5">
        <v>312</v>
      </c>
    </row>
    <row r="101" spans="1:6" x14ac:dyDescent="0.25">
      <c r="A101" s="249">
        <v>330</v>
      </c>
      <c r="B101" s="250">
        <v>330</v>
      </c>
      <c r="C101" s="245">
        <v>330</v>
      </c>
      <c r="D101" s="246">
        <v>316</v>
      </c>
      <c r="E101" s="247">
        <v>316</v>
      </c>
      <c r="F101" s="5">
        <v>316</v>
      </c>
    </row>
    <row r="102" spans="1:6" x14ac:dyDescent="0.25">
      <c r="A102" s="249"/>
      <c r="B102" s="250"/>
      <c r="C102" s="245"/>
      <c r="D102" s="246"/>
      <c r="E102" s="247"/>
      <c r="F102" s="5">
        <v>320</v>
      </c>
    </row>
    <row r="103" spans="1:6" x14ac:dyDescent="0.25">
      <c r="A103" s="249"/>
      <c r="B103" s="250"/>
      <c r="C103" s="245"/>
      <c r="D103" s="246"/>
      <c r="E103" s="247">
        <v>324</v>
      </c>
      <c r="F103" s="5">
        <v>324</v>
      </c>
    </row>
    <row r="104" spans="1:6" x14ac:dyDescent="0.25">
      <c r="A104" s="249"/>
      <c r="B104" s="250"/>
      <c r="C104" s="245"/>
      <c r="D104" s="246"/>
      <c r="E104" s="247"/>
      <c r="F104" s="5">
        <v>328</v>
      </c>
    </row>
    <row r="105" spans="1:6" x14ac:dyDescent="0.25">
      <c r="A105" s="249"/>
      <c r="B105" s="250"/>
      <c r="C105" s="245"/>
      <c r="D105" s="246">
        <v>332</v>
      </c>
      <c r="E105" s="247">
        <v>332</v>
      </c>
      <c r="F105" s="5">
        <v>332</v>
      </c>
    </row>
    <row r="106" spans="1:6" x14ac:dyDescent="0.25">
      <c r="A106" s="249"/>
      <c r="B106" s="250"/>
      <c r="C106" s="245"/>
      <c r="D106" s="246"/>
      <c r="E106" s="247"/>
      <c r="F106" s="5">
        <v>336</v>
      </c>
    </row>
    <row r="107" spans="1:6" x14ac:dyDescent="0.25">
      <c r="A107" s="249"/>
      <c r="B107" s="250"/>
      <c r="C107" s="245"/>
      <c r="D107" s="246"/>
      <c r="E107" s="247">
        <v>340</v>
      </c>
      <c r="F107" s="5">
        <v>340</v>
      </c>
    </row>
    <row r="108" spans="1:6" x14ac:dyDescent="0.25">
      <c r="A108" s="249"/>
      <c r="B108" s="250"/>
      <c r="C108" s="245"/>
      <c r="D108" s="246"/>
      <c r="E108" s="247"/>
      <c r="F108" s="5">
        <v>344</v>
      </c>
    </row>
    <row r="109" spans="1:6" x14ac:dyDescent="0.25">
      <c r="A109" s="249"/>
      <c r="B109" s="250"/>
      <c r="C109" s="245">
        <v>360</v>
      </c>
      <c r="D109" s="246">
        <v>348</v>
      </c>
      <c r="E109" s="247">
        <v>348</v>
      </c>
      <c r="F109" s="5">
        <v>348</v>
      </c>
    </row>
    <row r="110" spans="1:6" x14ac:dyDescent="0.25">
      <c r="A110" s="249"/>
      <c r="B110" s="250"/>
      <c r="C110" s="245"/>
      <c r="D110" s="246"/>
      <c r="E110" s="247"/>
      <c r="F110" s="5">
        <v>352</v>
      </c>
    </row>
    <row r="111" spans="1:6" x14ac:dyDescent="0.25">
      <c r="A111" s="249"/>
      <c r="B111" s="250"/>
      <c r="C111" s="245"/>
      <c r="D111" s="246"/>
      <c r="E111" s="247">
        <v>357</v>
      </c>
      <c r="F111" s="5">
        <v>357</v>
      </c>
    </row>
    <row r="112" spans="1:6" x14ac:dyDescent="0.25">
      <c r="A112" s="249"/>
      <c r="B112" s="250"/>
      <c r="C112" s="245"/>
      <c r="D112" s="246"/>
      <c r="E112" s="247"/>
      <c r="F112" s="5">
        <v>361</v>
      </c>
    </row>
    <row r="113" spans="1:6" x14ac:dyDescent="0.25">
      <c r="A113" s="249"/>
      <c r="B113" s="250"/>
      <c r="C113" s="245"/>
      <c r="D113" s="246">
        <v>365</v>
      </c>
      <c r="E113" s="247">
        <v>365</v>
      </c>
      <c r="F113" s="5">
        <v>365</v>
      </c>
    </row>
    <row r="114" spans="1:6" x14ac:dyDescent="0.25">
      <c r="A114" s="249"/>
      <c r="B114" s="250"/>
      <c r="C114" s="245"/>
      <c r="D114" s="246"/>
      <c r="E114" s="247"/>
      <c r="F114" s="5">
        <v>370</v>
      </c>
    </row>
    <row r="115" spans="1:6" x14ac:dyDescent="0.25">
      <c r="A115" s="249"/>
      <c r="B115" s="250"/>
      <c r="C115" s="245"/>
      <c r="D115" s="246"/>
      <c r="E115" s="247">
        <v>374</v>
      </c>
      <c r="F115" s="5">
        <v>374</v>
      </c>
    </row>
    <row r="116" spans="1:6" x14ac:dyDescent="0.25">
      <c r="A116" s="249"/>
      <c r="B116" s="250"/>
      <c r="C116" s="245"/>
      <c r="D116" s="246"/>
      <c r="E116" s="247"/>
      <c r="F116" s="5">
        <v>379</v>
      </c>
    </row>
    <row r="117" spans="1:6" x14ac:dyDescent="0.25">
      <c r="A117" s="249"/>
      <c r="B117" s="250">
        <v>390</v>
      </c>
      <c r="C117" s="245">
        <v>390</v>
      </c>
      <c r="D117" s="246">
        <v>383</v>
      </c>
      <c r="E117" s="247">
        <v>383</v>
      </c>
      <c r="F117" s="5">
        <v>383</v>
      </c>
    </row>
    <row r="118" spans="1:6" x14ac:dyDescent="0.25">
      <c r="A118" s="249"/>
      <c r="B118" s="250"/>
      <c r="C118" s="245"/>
      <c r="D118" s="246"/>
      <c r="E118" s="247"/>
      <c r="F118" s="5">
        <v>388</v>
      </c>
    </row>
    <row r="119" spans="1:6" x14ac:dyDescent="0.25">
      <c r="A119" s="249"/>
      <c r="B119" s="250"/>
      <c r="C119" s="245"/>
      <c r="D119" s="246"/>
      <c r="E119" s="247">
        <v>392</v>
      </c>
      <c r="F119" s="5">
        <v>392</v>
      </c>
    </row>
    <row r="120" spans="1:6" x14ac:dyDescent="0.25">
      <c r="A120" s="249"/>
      <c r="B120" s="250"/>
      <c r="C120" s="245"/>
      <c r="D120" s="246"/>
      <c r="E120" s="247"/>
      <c r="F120" s="5">
        <v>397</v>
      </c>
    </row>
    <row r="121" spans="1:6" x14ac:dyDescent="0.25">
      <c r="A121" s="249"/>
      <c r="B121" s="250"/>
      <c r="C121" s="245"/>
      <c r="D121" s="246">
        <v>402</v>
      </c>
      <c r="E121" s="247">
        <v>402</v>
      </c>
      <c r="F121" s="5">
        <v>402</v>
      </c>
    </row>
    <row r="122" spans="1:6" x14ac:dyDescent="0.25">
      <c r="A122" s="249"/>
      <c r="B122" s="250"/>
      <c r="C122" s="245"/>
      <c r="D122" s="246"/>
      <c r="E122" s="247"/>
      <c r="F122" s="5">
        <v>407</v>
      </c>
    </row>
    <row r="123" spans="1:6" x14ac:dyDescent="0.25">
      <c r="A123" s="249"/>
      <c r="B123" s="250"/>
      <c r="C123" s="245"/>
      <c r="D123" s="246"/>
      <c r="E123" s="247">
        <v>412</v>
      </c>
      <c r="F123" s="5">
        <v>412</v>
      </c>
    </row>
    <row r="124" spans="1:6" x14ac:dyDescent="0.25">
      <c r="A124" s="249"/>
      <c r="B124" s="250"/>
      <c r="C124" s="245"/>
      <c r="D124" s="246"/>
      <c r="E124" s="247"/>
      <c r="F124" s="5">
        <v>417</v>
      </c>
    </row>
    <row r="125" spans="1:6" x14ac:dyDescent="0.25">
      <c r="A125" s="249"/>
      <c r="B125" s="250"/>
      <c r="C125" s="245">
        <v>430</v>
      </c>
      <c r="D125" s="246">
        <v>422</v>
      </c>
      <c r="E125" s="247">
        <v>422</v>
      </c>
      <c r="F125" s="5">
        <v>422</v>
      </c>
    </row>
    <row r="126" spans="1:6" x14ac:dyDescent="0.25">
      <c r="A126" s="249"/>
      <c r="B126" s="250"/>
      <c r="C126" s="245"/>
      <c r="D126" s="246"/>
      <c r="E126" s="247"/>
      <c r="F126" s="5">
        <v>427</v>
      </c>
    </row>
    <row r="127" spans="1:6" x14ac:dyDescent="0.25">
      <c r="A127" s="249"/>
      <c r="B127" s="250"/>
      <c r="C127" s="245"/>
      <c r="D127" s="246"/>
      <c r="E127" s="247">
        <v>432</v>
      </c>
      <c r="F127" s="5">
        <v>432</v>
      </c>
    </row>
    <row r="128" spans="1:6" x14ac:dyDescent="0.25">
      <c r="A128" s="249"/>
      <c r="B128" s="250"/>
      <c r="C128" s="245"/>
      <c r="D128" s="246"/>
      <c r="E128" s="247"/>
      <c r="F128" s="5">
        <v>437</v>
      </c>
    </row>
    <row r="129" spans="1:6" x14ac:dyDescent="0.25">
      <c r="A129" s="249"/>
      <c r="B129" s="250"/>
      <c r="C129" s="245"/>
      <c r="D129" s="246">
        <v>442</v>
      </c>
      <c r="E129" s="247">
        <v>442</v>
      </c>
      <c r="F129" s="5">
        <v>442</v>
      </c>
    </row>
    <row r="130" spans="1:6" x14ac:dyDescent="0.25">
      <c r="A130" s="249"/>
      <c r="B130" s="250"/>
      <c r="C130" s="245"/>
      <c r="D130" s="246"/>
      <c r="E130" s="247"/>
      <c r="F130" s="5">
        <v>448</v>
      </c>
    </row>
    <row r="131" spans="1:6" x14ac:dyDescent="0.25">
      <c r="A131" s="249"/>
      <c r="B131" s="250"/>
      <c r="C131" s="245"/>
      <c r="D131" s="246"/>
      <c r="E131" s="247">
        <v>453</v>
      </c>
      <c r="F131" s="5">
        <v>453</v>
      </c>
    </row>
    <row r="132" spans="1:6" x14ac:dyDescent="0.25">
      <c r="A132" s="249"/>
      <c r="B132" s="250"/>
      <c r="C132" s="245"/>
      <c r="D132" s="246"/>
      <c r="E132" s="247"/>
      <c r="F132" s="5">
        <v>459</v>
      </c>
    </row>
    <row r="133" spans="1:6" x14ac:dyDescent="0.25">
      <c r="A133" s="249">
        <v>470</v>
      </c>
      <c r="B133" s="250">
        <v>470</v>
      </c>
      <c r="C133" s="245">
        <v>470</v>
      </c>
      <c r="D133" s="246">
        <v>464</v>
      </c>
      <c r="E133" s="247">
        <v>464</v>
      </c>
      <c r="F133" s="5">
        <v>464</v>
      </c>
    </row>
    <row r="134" spans="1:6" x14ac:dyDescent="0.25">
      <c r="A134" s="249"/>
      <c r="B134" s="250"/>
      <c r="C134" s="245"/>
      <c r="D134" s="246"/>
      <c r="E134" s="247"/>
      <c r="F134" s="5">
        <v>470</v>
      </c>
    </row>
    <row r="135" spans="1:6" x14ac:dyDescent="0.25">
      <c r="A135" s="249"/>
      <c r="B135" s="250"/>
      <c r="C135" s="245"/>
      <c r="D135" s="246"/>
      <c r="E135" s="247">
        <v>475</v>
      </c>
      <c r="F135" s="5">
        <v>475</v>
      </c>
    </row>
    <row r="136" spans="1:6" x14ac:dyDescent="0.25">
      <c r="A136" s="249"/>
      <c r="B136" s="250"/>
      <c r="C136" s="245"/>
      <c r="D136" s="246"/>
      <c r="E136" s="247"/>
      <c r="F136" s="5">
        <v>481</v>
      </c>
    </row>
    <row r="137" spans="1:6" x14ac:dyDescent="0.25">
      <c r="A137" s="249"/>
      <c r="B137" s="250"/>
      <c r="C137" s="245"/>
      <c r="D137" s="246">
        <v>487</v>
      </c>
      <c r="E137" s="247">
        <v>487</v>
      </c>
      <c r="F137" s="5">
        <v>487</v>
      </c>
    </row>
    <row r="138" spans="1:6" x14ac:dyDescent="0.25">
      <c r="A138" s="249"/>
      <c r="B138" s="250"/>
      <c r="C138" s="245"/>
      <c r="D138" s="246"/>
      <c r="E138" s="247"/>
      <c r="F138" s="5">
        <v>493</v>
      </c>
    </row>
    <row r="139" spans="1:6" x14ac:dyDescent="0.25">
      <c r="A139" s="249"/>
      <c r="B139" s="250"/>
      <c r="C139" s="245"/>
      <c r="D139" s="246"/>
      <c r="E139" s="247">
        <v>499</v>
      </c>
      <c r="F139" s="5">
        <v>499</v>
      </c>
    </row>
    <row r="140" spans="1:6" x14ac:dyDescent="0.25">
      <c r="A140" s="249"/>
      <c r="B140" s="250"/>
      <c r="C140" s="245"/>
      <c r="D140" s="246"/>
      <c r="E140" s="247"/>
      <c r="F140" s="5">
        <v>505</v>
      </c>
    </row>
    <row r="141" spans="1:6" x14ac:dyDescent="0.25">
      <c r="A141" s="249"/>
      <c r="B141" s="250"/>
      <c r="C141" s="245">
        <v>510</v>
      </c>
      <c r="D141" s="246">
        <v>511</v>
      </c>
      <c r="E141" s="247">
        <v>511</v>
      </c>
      <c r="F141" s="5">
        <v>511</v>
      </c>
    </row>
    <row r="142" spans="1:6" x14ac:dyDescent="0.25">
      <c r="A142" s="249"/>
      <c r="B142" s="250"/>
      <c r="C142" s="245"/>
      <c r="D142" s="246"/>
      <c r="E142" s="247"/>
      <c r="F142" s="5">
        <v>517</v>
      </c>
    </row>
    <row r="143" spans="1:6" x14ac:dyDescent="0.25">
      <c r="A143" s="249"/>
      <c r="B143" s="250"/>
      <c r="C143" s="245"/>
      <c r="D143" s="246"/>
      <c r="E143" s="247">
        <v>523</v>
      </c>
      <c r="F143" s="5">
        <v>523</v>
      </c>
    </row>
    <row r="144" spans="1:6" x14ac:dyDescent="0.25">
      <c r="A144" s="249"/>
      <c r="B144" s="250"/>
      <c r="C144" s="245"/>
      <c r="D144" s="246"/>
      <c r="E144" s="247"/>
      <c r="F144" s="5">
        <v>530</v>
      </c>
    </row>
    <row r="145" spans="1:6" x14ac:dyDescent="0.25">
      <c r="A145" s="249"/>
      <c r="B145" s="250"/>
      <c r="C145" s="245"/>
      <c r="D145" s="246">
        <v>536</v>
      </c>
      <c r="E145" s="247">
        <v>536</v>
      </c>
      <c r="F145" s="5">
        <v>536</v>
      </c>
    </row>
    <row r="146" spans="1:6" x14ac:dyDescent="0.25">
      <c r="A146" s="249"/>
      <c r="B146" s="250"/>
      <c r="C146" s="245"/>
      <c r="D146" s="246"/>
      <c r="E146" s="247"/>
      <c r="F146" s="5">
        <v>542</v>
      </c>
    </row>
    <row r="147" spans="1:6" x14ac:dyDescent="0.25">
      <c r="A147" s="249"/>
      <c r="B147" s="250"/>
      <c r="C147" s="245"/>
      <c r="D147" s="246"/>
      <c r="E147" s="247">
        <v>549</v>
      </c>
      <c r="F147" s="5">
        <v>549</v>
      </c>
    </row>
    <row r="148" spans="1:6" x14ac:dyDescent="0.25">
      <c r="A148" s="249"/>
      <c r="B148" s="250"/>
      <c r="C148" s="245"/>
      <c r="D148" s="246"/>
      <c r="E148" s="247"/>
      <c r="F148" s="5">
        <v>556</v>
      </c>
    </row>
    <row r="149" spans="1:6" x14ac:dyDescent="0.25">
      <c r="A149" s="249"/>
      <c r="B149" s="250">
        <v>560</v>
      </c>
      <c r="C149" s="245">
        <v>560</v>
      </c>
      <c r="D149" s="246">
        <v>562</v>
      </c>
      <c r="E149" s="247">
        <v>562</v>
      </c>
      <c r="F149" s="5">
        <v>562</v>
      </c>
    </row>
    <row r="150" spans="1:6" x14ac:dyDescent="0.25">
      <c r="A150" s="249"/>
      <c r="B150" s="250"/>
      <c r="C150" s="245"/>
      <c r="D150" s="246"/>
      <c r="E150" s="247"/>
      <c r="F150" s="5">
        <v>569</v>
      </c>
    </row>
    <row r="151" spans="1:6" x14ac:dyDescent="0.25">
      <c r="A151" s="249"/>
      <c r="B151" s="250"/>
      <c r="C151" s="245"/>
      <c r="D151" s="246"/>
      <c r="E151" s="247">
        <v>576</v>
      </c>
      <c r="F151" s="5">
        <v>576</v>
      </c>
    </row>
    <row r="152" spans="1:6" x14ac:dyDescent="0.25">
      <c r="A152" s="249"/>
      <c r="B152" s="250"/>
      <c r="C152" s="245"/>
      <c r="D152" s="246"/>
      <c r="E152" s="247"/>
      <c r="F152" s="5">
        <v>583</v>
      </c>
    </row>
    <row r="153" spans="1:6" x14ac:dyDescent="0.25">
      <c r="A153" s="249"/>
      <c r="B153" s="250"/>
      <c r="C153" s="245"/>
      <c r="D153" s="246">
        <v>590</v>
      </c>
      <c r="E153" s="247">
        <v>590</v>
      </c>
      <c r="F153" s="5">
        <v>590</v>
      </c>
    </row>
    <row r="154" spans="1:6" x14ac:dyDescent="0.25">
      <c r="A154" s="249"/>
      <c r="B154" s="250"/>
      <c r="C154" s="245"/>
      <c r="D154" s="246"/>
      <c r="E154" s="247"/>
      <c r="F154" s="5">
        <v>597</v>
      </c>
    </row>
    <row r="155" spans="1:6" x14ac:dyDescent="0.25">
      <c r="A155" s="249"/>
      <c r="B155" s="250"/>
      <c r="C155" s="245"/>
      <c r="D155" s="246"/>
      <c r="E155" s="247">
        <v>604</v>
      </c>
      <c r="F155" s="5">
        <v>604</v>
      </c>
    </row>
    <row r="156" spans="1:6" x14ac:dyDescent="0.25">
      <c r="A156" s="249"/>
      <c r="B156" s="250"/>
      <c r="C156" s="245"/>
      <c r="D156" s="246"/>
      <c r="E156" s="247"/>
      <c r="F156" s="5">
        <v>612</v>
      </c>
    </row>
    <row r="157" spans="1:6" x14ac:dyDescent="0.25">
      <c r="A157" s="249"/>
      <c r="B157" s="250"/>
      <c r="C157" s="245">
        <v>620</v>
      </c>
      <c r="D157" s="246">
        <v>619</v>
      </c>
      <c r="E157" s="247">
        <v>619</v>
      </c>
      <c r="F157" s="5">
        <v>619</v>
      </c>
    </row>
    <row r="158" spans="1:6" x14ac:dyDescent="0.25">
      <c r="A158" s="249"/>
      <c r="B158" s="250"/>
      <c r="C158" s="245"/>
      <c r="D158" s="246"/>
      <c r="E158" s="247"/>
      <c r="F158" s="5">
        <v>626</v>
      </c>
    </row>
    <row r="159" spans="1:6" x14ac:dyDescent="0.25">
      <c r="A159" s="249"/>
      <c r="B159" s="250"/>
      <c r="C159" s="245"/>
      <c r="D159" s="246"/>
      <c r="E159" s="247">
        <v>634</v>
      </c>
      <c r="F159" s="5">
        <v>634</v>
      </c>
    </row>
    <row r="160" spans="1:6" x14ac:dyDescent="0.25">
      <c r="A160" s="249"/>
      <c r="B160" s="250"/>
      <c r="C160" s="245"/>
      <c r="D160" s="246"/>
      <c r="E160" s="247"/>
      <c r="F160" s="5">
        <v>642</v>
      </c>
    </row>
    <row r="161" spans="1:6" x14ac:dyDescent="0.25">
      <c r="A161" s="249"/>
      <c r="B161" s="250"/>
      <c r="C161" s="245"/>
      <c r="D161" s="246">
        <v>649</v>
      </c>
      <c r="E161" s="247">
        <v>649</v>
      </c>
      <c r="F161" s="5">
        <v>649</v>
      </c>
    </row>
    <row r="162" spans="1:6" x14ac:dyDescent="0.25">
      <c r="A162" s="249"/>
      <c r="B162" s="250"/>
      <c r="C162" s="245"/>
      <c r="D162" s="246"/>
      <c r="E162" s="247"/>
      <c r="F162" s="5">
        <v>657</v>
      </c>
    </row>
    <row r="163" spans="1:6" x14ac:dyDescent="0.25">
      <c r="A163" s="249"/>
      <c r="B163" s="250"/>
      <c r="C163" s="245"/>
      <c r="D163" s="246"/>
      <c r="E163" s="247">
        <v>665</v>
      </c>
      <c r="F163" s="5">
        <v>665</v>
      </c>
    </row>
    <row r="164" spans="1:6" x14ac:dyDescent="0.25">
      <c r="A164" s="249"/>
      <c r="B164" s="250"/>
      <c r="C164" s="245"/>
      <c r="D164" s="246"/>
      <c r="E164" s="247"/>
      <c r="F164" s="5">
        <v>673</v>
      </c>
    </row>
    <row r="165" spans="1:6" x14ac:dyDescent="0.25">
      <c r="A165" s="249">
        <v>680</v>
      </c>
      <c r="B165" s="250">
        <v>680</v>
      </c>
      <c r="C165" s="245">
        <v>680</v>
      </c>
      <c r="D165" s="246">
        <v>681</v>
      </c>
      <c r="E165" s="247">
        <v>681</v>
      </c>
      <c r="F165" s="5">
        <v>681</v>
      </c>
    </row>
    <row r="166" spans="1:6" x14ac:dyDescent="0.25">
      <c r="A166" s="249"/>
      <c r="B166" s="250"/>
      <c r="C166" s="245"/>
      <c r="D166" s="246"/>
      <c r="E166" s="247"/>
      <c r="F166" s="5">
        <v>690</v>
      </c>
    </row>
    <row r="167" spans="1:6" x14ac:dyDescent="0.25">
      <c r="A167" s="249"/>
      <c r="B167" s="250"/>
      <c r="C167" s="245"/>
      <c r="D167" s="246"/>
      <c r="E167" s="247">
        <v>698</v>
      </c>
      <c r="F167" s="5">
        <v>698</v>
      </c>
    </row>
    <row r="168" spans="1:6" x14ac:dyDescent="0.25">
      <c r="A168" s="249"/>
      <c r="B168" s="250"/>
      <c r="C168" s="245"/>
      <c r="D168" s="246"/>
      <c r="E168" s="247"/>
      <c r="F168" s="5">
        <v>706</v>
      </c>
    </row>
    <row r="169" spans="1:6" x14ac:dyDescent="0.25">
      <c r="A169" s="249"/>
      <c r="B169" s="250"/>
      <c r="C169" s="245"/>
      <c r="D169" s="246">
        <v>715</v>
      </c>
      <c r="E169" s="247">
        <v>715</v>
      </c>
      <c r="F169" s="5">
        <v>715</v>
      </c>
    </row>
    <row r="170" spans="1:6" x14ac:dyDescent="0.25">
      <c r="A170" s="249"/>
      <c r="B170" s="250"/>
      <c r="C170" s="245"/>
      <c r="D170" s="246"/>
      <c r="E170" s="247"/>
      <c r="F170" s="5">
        <v>723</v>
      </c>
    </row>
    <row r="171" spans="1:6" x14ac:dyDescent="0.25">
      <c r="A171" s="249"/>
      <c r="B171" s="250"/>
      <c r="C171" s="245"/>
      <c r="D171" s="246"/>
      <c r="E171" s="247">
        <v>732</v>
      </c>
      <c r="F171" s="5">
        <v>732</v>
      </c>
    </row>
    <row r="172" spans="1:6" x14ac:dyDescent="0.25">
      <c r="A172" s="249"/>
      <c r="B172" s="250"/>
      <c r="C172" s="245"/>
      <c r="D172" s="246"/>
      <c r="E172" s="247"/>
      <c r="F172" s="5">
        <v>741</v>
      </c>
    </row>
    <row r="173" spans="1:6" x14ac:dyDescent="0.25">
      <c r="A173" s="249"/>
      <c r="B173" s="250"/>
      <c r="C173" s="245">
        <v>750</v>
      </c>
      <c r="D173" s="246">
        <v>750</v>
      </c>
      <c r="E173" s="247">
        <v>750</v>
      </c>
      <c r="F173" s="5">
        <v>750</v>
      </c>
    </row>
    <row r="174" spans="1:6" x14ac:dyDescent="0.25">
      <c r="A174" s="249"/>
      <c r="B174" s="250"/>
      <c r="C174" s="245"/>
      <c r="D174" s="246"/>
      <c r="E174" s="247"/>
      <c r="F174" s="5">
        <v>759</v>
      </c>
    </row>
    <row r="175" spans="1:6" x14ac:dyDescent="0.25">
      <c r="A175" s="249"/>
      <c r="B175" s="250"/>
      <c r="C175" s="245"/>
      <c r="D175" s="246"/>
      <c r="E175" s="247">
        <v>768</v>
      </c>
      <c r="F175" s="5">
        <v>768</v>
      </c>
    </row>
    <row r="176" spans="1:6" x14ac:dyDescent="0.25">
      <c r="A176" s="249"/>
      <c r="B176" s="250"/>
      <c r="C176" s="245"/>
      <c r="D176" s="246"/>
      <c r="E176" s="247"/>
      <c r="F176" s="5">
        <v>777</v>
      </c>
    </row>
    <row r="177" spans="1:6" x14ac:dyDescent="0.25">
      <c r="A177" s="249"/>
      <c r="B177" s="250"/>
      <c r="C177" s="245"/>
      <c r="D177" s="246">
        <v>787</v>
      </c>
      <c r="E177" s="247">
        <v>787</v>
      </c>
      <c r="F177" s="5">
        <v>787</v>
      </c>
    </row>
    <row r="178" spans="1:6" x14ac:dyDescent="0.25">
      <c r="A178" s="249"/>
      <c r="B178" s="250"/>
      <c r="C178" s="245"/>
      <c r="D178" s="246"/>
      <c r="E178" s="247"/>
      <c r="F178" s="5">
        <v>796</v>
      </c>
    </row>
    <row r="179" spans="1:6" x14ac:dyDescent="0.25">
      <c r="A179" s="249"/>
      <c r="B179" s="250"/>
      <c r="C179" s="245"/>
      <c r="D179" s="246"/>
      <c r="E179" s="247">
        <v>806</v>
      </c>
      <c r="F179" s="5">
        <v>806</v>
      </c>
    </row>
    <row r="180" spans="1:6" x14ac:dyDescent="0.25">
      <c r="A180" s="249"/>
      <c r="B180" s="250"/>
      <c r="C180" s="245"/>
      <c r="D180" s="246"/>
      <c r="E180" s="247"/>
      <c r="F180" s="5">
        <v>816</v>
      </c>
    </row>
    <row r="181" spans="1:6" x14ac:dyDescent="0.25">
      <c r="A181" s="249"/>
      <c r="B181" s="250">
        <v>820</v>
      </c>
      <c r="C181" s="245">
        <v>820</v>
      </c>
      <c r="D181" s="246">
        <v>825</v>
      </c>
      <c r="E181" s="247">
        <v>825</v>
      </c>
      <c r="F181" s="5">
        <v>825</v>
      </c>
    </row>
    <row r="182" spans="1:6" x14ac:dyDescent="0.25">
      <c r="A182" s="249"/>
      <c r="B182" s="250"/>
      <c r="C182" s="245"/>
      <c r="D182" s="246"/>
      <c r="E182" s="247"/>
      <c r="F182" s="5">
        <v>835</v>
      </c>
    </row>
    <row r="183" spans="1:6" x14ac:dyDescent="0.25">
      <c r="A183" s="249"/>
      <c r="B183" s="250"/>
      <c r="C183" s="245"/>
      <c r="D183" s="246"/>
      <c r="E183" s="247">
        <v>845</v>
      </c>
      <c r="F183" s="5">
        <v>845</v>
      </c>
    </row>
    <row r="184" spans="1:6" x14ac:dyDescent="0.25">
      <c r="A184" s="249"/>
      <c r="B184" s="250"/>
      <c r="C184" s="245"/>
      <c r="D184" s="246"/>
      <c r="E184" s="247"/>
      <c r="F184" s="5">
        <v>856</v>
      </c>
    </row>
    <row r="185" spans="1:6" x14ac:dyDescent="0.25">
      <c r="A185" s="249"/>
      <c r="B185" s="250"/>
      <c r="C185" s="245"/>
      <c r="D185" s="246">
        <v>866</v>
      </c>
      <c r="E185" s="247">
        <v>866</v>
      </c>
      <c r="F185" s="5">
        <v>866</v>
      </c>
    </row>
    <row r="186" spans="1:6" x14ac:dyDescent="0.25">
      <c r="A186" s="249"/>
      <c r="B186" s="250"/>
      <c r="C186" s="245"/>
      <c r="D186" s="246"/>
      <c r="E186" s="247"/>
      <c r="F186" s="5">
        <v>876</v>
      </c>
    </row>
    <row r="187" spans="1:6" x14ac:dyDescent="0.25">
      <c r="A187" s="249"/>
      <c r="B187" s="250"/>
      <c r="C187" s="245"/>
      <c r="D187" s="246"/>
      <c r="E187" s="247">
        <v>887</v>
      </c>
      <c r="F187" s="5">
        <v>887</v>
      </c>
    </row>
    <row r="188" spans="1:6" x14ac:dyDescent="0.25">
      <c r="A188" s="249"/>
      <c r="B188" s="250"/>
      <c r="C188" s="245"/>
      <c r="D188" s="246"/>
      <c r="E188" s="247"/>
      <c r="F188" s="5">
        <v>898</v>
      </c>
    </row>
    <row r="189" spans="1:6" x14ac:dyDescent="0.25">
      <c r="A189" s="249"/>
      <c r="B189" s="250"/>
      <c r="C189" s="245">
        <v>910</v>
      </c>
      <c r="D189" s="246">
        <v>909</v>
      </c>
      <c r="E189" s="247">
        <v>909</v>
      </c>
      <c r="F189" s="5">
        <v>909</v>
      </c>
    </row>
    <row r="190" spans="1:6" x14ac:dyDescent="0.25">
      <c r="A190" s="249"/>
      <c r="B190" s="250"/>
      <c r="C190" s="245"/>
      <c r="D190" s="246"/>
      <c r="E190" s="247"/>
      <c r="F190" s="5">
        <v>920</v>
      </c>
    </row>
    <row r="191" spans="1:6" x14ac:dyDescent="0.25">
      <c r="A191" s="249"/>
      <c r="B191" s="250"/>
      <c r="C191" s="245"/>
      <c r="D191" s="246"/>
      <c r="E191" s="247">
        <v>931</v>
      </c>
      <c r="F191" s="5">
        <v>931</v>
      </c>
    </row>
    <row r="192" spans="1:6" x14ac:dyDescent="0.25">
      <c r="A192" s="249"/>
      <c r="B192" s="250"/>
      <c r="C192" s="245"/>
      <c r="D192" s="246"/>
      <c r="E192" s="247"/>
      <c r="F192" s="5">
        <v>942</v>
      </c>
    </row>
    <row r="193" spans="1:7" x14ac:dyDescent="0.25">
      <c r="A193" s="249"/>
      <c r="B193" s="250"/>
      <c r="C193" s="245"/>
      <c r="D193" s="246">
        <v>953</v>
      </c>
      <c r="E193" s="247">
        <v>953</v>
      </c>
      <c r="F193" s="5">
        <v>953</v>
      </c>
    </row>
    <row r="194" spans="1:7" x14ac:dyDescent="0.25">
      <c r="A194" s="249"/>
      <c r="B194" s="250"/>
      <c r="C194" s="245"/>
      <c r="D194" s="246"/>
      <c r="E194" s="247"/>
      <c r="F194" s="5">
        <v>965</v>
      </c>
    </row>
    <row r="195" spans="1:7" x14ac:dyDescent="0.25">
      <c r="A195" s="249"/>
      <c r="B195" s="250"/>
      <c r="C195" s="245"/>
      <c r="D195" s="246"/>
      <c r="E195" s="247">
        <v>976</v>
      </c>
      <c r="F195" s="5">
        <v>976</v>
      </c>
    </row>
    <row r="196" spans="1:7" x14ac:dyDescent="0.25">
      <c r="A196" s="249"/>
      <c r="B196" s="250"/>
      <c r="C196" s="245"/>
      <c r="D196" s="246"/>
      <c r="E196" s="247"/>
      <c r="F196" s="5">
        <v>988</v>
      </c>
    </row>
    <row r="197" spans="1:7" x14ac:dyDescent="0.25">
      <c r="A197" s="6">
        <v>1000</v>
      </c>
      <c r="B197" s="7">
        <v>1000</v>
      </c>
      <c r="C197" s="8">
        <v>1000</v>
      </c>
      <c r="D197" s="9">
        <v>1000</v>
      </c>
      <c r="E197" s="10">
        <v>1000</v>
      </c>
      <c r="F197" s="11">
        <v>1000</v>
      </c>
      <c r="G197" s="12" t="s">
        <v>28</v>
      </c>
    </row>
  </sheetData>
  <sheetProtection sheet="1" objects="1" scenarios="1"/>
  <mergeCells count="187"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7" tint="-0.499984740745262"/>
  </sheetPr>
  <dimension ref="A1:F75"/>
  <sheetViews>
    <sheetView zoomScale="70" zoomScaleNormal="70" workbookViewId="0">
      <pane xSplit="1" ySplit="3" topLeftCell="B4" activePane="bottomRight" state="frozen"/>
      <selection activeCell="G170" sqref="G170"/>
      <selection pane="topRight" activeCell="G170" sqref="G170"/>
      <selection pane="bottomLeft" activeCell="G170" sqref="G170"/>
      <selection pane="bottomRight" activeCell="B19" sqref="B19"/>
    </sheetView>
  </sheetViews>
  <sheetFormatPr defaultRowHeight="15" x14ac:dyDescent="0.25"/>
  <cols>
    <col min="1" max="4" width="9.42578125" bestFit="1" customWidth="1"/>
  </cols>
  <sheetData>
    <row r="1" spans="1:4" ht="26.25" x14ac:dyDescent="0.4">
      <c r="A1" s="15" t="s">
        <v>30</v>
      </c>
      <c r="B1" s="15"/>
    </row>
    <row r="3" spans="1:4" x14ac:dyDescent="0.25">
      <c r="A3" s="13" t="s">
        <v>18</v>
      </c>
      <c r="B3" s="13" t="s">
        <v>8</v>
      </c>
      <c r="C3" s="13" t="s">
        <v>29</v>
      </c>
      <c r="D3" s="13" t="s">
        <v>31</v>
      </c>
    </row>
    <row r="4" spans="1:4" x14ac:dyDescent="0.25">
      <c r="A4" s="14">
        <v>1</v>
      </c>
      <c r="B4" s="14">
        <v>1</v>
      </c>
      <c r="C4" s="14">
        <v>1</v>
      </c>
      <c r="D4" s="14">
        <v>1</v>
      </c>
    </row>
    <row r="5" spans="1:4" x14ac:dyDescent="0.25">
      <c r="A5" s="14">
        <v>1.1000000000000001</v>
      </c>
      <c r="B5" s="14">
        <v>1.1000000000000001</v>
      </c>
      <c r="C5" s="14">
        <v>1</v>
      </c>
      <c r="D5" s="14"/>
    </row>
    <row r="6" spans="1:4" x14ac:dyDescent="0.25">
      <c r="A6" s="14">
        <v>1.2</v>
      </c>
      <c r="B6" s="14">
        <v>1.2</v>
      </c>
      <c r="C6" s="14">
        <v>1</v>
      </c>
      <c r="D6" s="14"/>
    </row>
    <row r="7" spans="1:4" x14ac:dyDescent="0.25">
      <c r="A7" s="14">
        <v>1.3</v>
      </c>
      <c r="B7" s="14">
        <v>1.3</v>
      </c>
      <c r="C7" s="14">
        <v>1</v>
      </c>
      <c r="D7" s="14"/>
    </row>
    <row r="8" spans="1:4" x14ac:dyDescent="0.25">
      <c r="A8" s="14">
        <v>1.5</v>
      </c>
      <c r="B8" s="14">
        <v>1.5</v>
      </c>
      <c r="C8" s="14">
        <v>1.5</v>
      </c>
      <c r="D8" s="14">
        <v>1.5</v>
      </c>
    </row>
    <row r="9" spans="1:4" x14ac:dyDescent="0.25">
      <c r="A9" s="14">
        <v>1.6</v>
      </c>
      <c r="B9" s="14">
        <v>1.6</v>
      </c>
      <c r="C9" s="14">
        <v>1.5</v>
      </c>
      <c r="D9" s="14"/>
    </row>
    <row r="10" spans="1:4" x14ac:dyDescent="0.25">
      <c r="A10" s="14">
        <v>1.8</v>
      </c>
      <c r="B10" s="14">
        <v>1.8</v>
      </c>
      <c r="C10" s="14">
        <v>1.5</v>
      </c>
      <c r="D10" s="14"/>
    </row>
    <row r="11" spans="1:4" x14ac:dyDescent="0.25">
      <c r="A11" s="14">
        <v>2</v>
      </c>
      <c r="B11" s="14">
        <v>2</v>
      </c>
      <c r="C11" s="14">
        <v>1.5</v>
      </c>
      <c r="D11" s="14"/>
    </row>
    <row r="12" spans="1:4" x14ac:dyDescent="0.25">
      <c r="A12" s="14">
        <v>2.2000000000000002</v>
      </c>
      <c r="B12" s="14">
        <v>2.2000000000000002</v>
      </c>
      <c r="C12" s="14">
        <v>2.2000000000000002</v>
      </c>
      <c r="D12" s="14">
        <v>2.2000000000000002</v>
      </c>
    </row>
    <row r="13" spans="1:4" x14ac:dyDescent="0.25">
      <c r="A13" s="14">
        <v>2.4</v>
      </c>
      <c r="B13" s="14">
        <v>2.4</v>
      </c>
      <c r="C13" s="14">
        <v>2.2000000000000002</v>
      </c>
      <c r="D13" s="14"/>
    </row>
    <row r="14" spans="1:4" x14ac:dyDescent="0.25">
      <c r="A14" s="14">
        <v>2.7</v>
      </c>
      <c r="B14" s="14">
        <v>2.7</v>
      </c>
      <c r="C14" s="14">
        <v>2.2000000000000002</v>
      </c>
      <c r="D14" s="14"/>
    </row>
    <row r="15" spans="1:4" x14ac:dyDescent="0.25">
      <c r="A15" s="14">
        <v>3</v>
      </c>
      <c r="B15" s="14">
        <v>3</v>
      </c>
      <c r="C15" s="14">
        <v>2.2000000000000002</v>
      </c>
      <c r="D15" s="14"/>
    </row>
    <row r="16" spans="1:4" x14ac:dyDescent="0.25">
      <c r="A16" s="14">
        <v>3.3</v>
      </c>
      <c r="B16" s="14">
        <v>3.3</v>
      </c>
      <c r="C16" s="14">
        <v>3.3</v>
      </c>
      <c r="D16" s="14">
        <v>3.3</v>
      </c>
    </row>
    <row r="17" spans="1:6" x14ac:dyDescent="0.25">
      <c r="A17" s="14">
        <v>3.6</v>
      </c>
      <c r="B17" s="14">
        <v>3.6</v>
      </c>
      <c r="C17" s="14">
        <f t="shared" ref="C17:C18" si="0">C18</f>
        <v>4.7</v>
      </c>
      <c r="D17" s="14"/>
    </row>
    <row r="18" spans="1:6" x14ac:dyDescent="0.25">
      <c r="A18" s="14">
        <v>3.9</v>
      </c>
      <c r="B18" s="14">
        <v>3.9</v>
      </c>
      <c r="C18" s="14">
        <f t="shared" si="0"/>
        <v>4.7</v>
      </c>
      <c r="D18" s="14"/>
    </row>
    <row r="19" spans="1:6" x14ac:dyDescent="0.25">
      <c r="A19" s="14">
        <v>4.3</v>
      </c>
      <c r="B19" s="14">
        <v>4.3</v>
      </c>
      <c r="C19" s="14">
        <f>C20</f>
        <v>4.7</v>
      </c>
      <c r="D19" s="14"/>
    </row>
    <row r="20" spans="1:6" x14ac:dyDescent="0.25">
      <c r="A20" s="14">
        <v>4.7</v>
      </c>
      <c r="B20" s="14">
        <v>4.7</v>
      </c>
      <c r="C20" s="14">
        <v>4.7</v>
      </c>
      <c r="D20" s="14">
        <v>4.7</v>
      </c>
    </row>
    <row r="21" spans="1:6" x14ac:dyDescent="0.25">
      <c r="A21" s="14">
        <v>5.0999999999999996</v>
      </c>
      <c r="B21" s="14">
        <v>5.0999999999999996</v>
      </c>
      <c r="C21" s="14">
        <f t="shared" ref="C21:C22" si="1">C22</f>
        <v>6.8</v>
      </c>
      <c r="D21" s="14"/>
    </row>
    <row r="22" spans="1:6" x14ac:dyDescent="0.25">
      <c r="A22" s="14">
        <v>5.6</v>
      </c>
      <c r="B22" s="14">
        <v>5.6</v>
      </c>
      <c r="C22" s="14">
        <f t="shared" si="1"/>
        <v>6.8</v>
      </c>
      <c r="D22" s="14"/>
    </row>
    <row r="23" spans="1:6" x14ac:dyDescent="0.25">
      <c r="A23" s="14">
        <v>6.2</v>
      </c>
      <c r="B23" s="14">
        <v>6.2</v>
      </c>
      <c r="C23" s="14">
        <f>C24</f>
        <v>6.8</v>
      </c>
      <c r="D23" s="14"/>
    </row>
    <row r="24" spans="1:6" x14ac:dyDescent="0.25">
      <c r="A24" s="14">
        <v>6.8</v>
      </c>
      <c r="B24" s="14">
        <v>6.8</v>
      </c>
      <c r="C24" s="14">
        <v>6.8</v>
      </c>
      <c r="D24" s="14">
        <v>6.8</v>
      </c>
    </row>
    <row r="25" spans="1:6" x14ac:dyDescent="0.25">
      <c r="A25" s="14">
        <v>7.5</v>
      </c>
      <c r="B25" s="14">
        <v>7.5</v>
      </c>
      <c r="C25" s="14">
        <f t="shared" ref="C25:C26" si="2">C26</f>
        <v>10</v>
      </c>
      <c r="D25" s="14"/>
    </row>
    <row r="26" spans="1:6" x14ac:dyDescent="0.25">
      <c r="A26" s="14">
        <v>8.1999999999999993</v>
      </c>
      <c r="B26" s="14">
        <v>8.1999999999999993</v>
      </c>
      <c r="C26" s="14">
        <f t="shared" si="2"/>
        <v>10</v>
      </c>
      <c r="D26" s="14"/>
    </row>
    <row r="27" spans="1:6" x14ac:dyDescent="0.25">
      <c r="A27" s="14">
        <v>9.1</v>
      </c>
      <c r="B27" s="14">
        <v>9.1</v>
      </c>
      <c r="C27" s="14">
        <f>C28</f>
        <v>10</v>
      </c>
      <c r="D27" s="14"/>
    </row>
    <row r="28" spans="1:6" x14ac:dyDescent="0.25">
      <c r="A28" s="14">
        <v>10</v>
      </c>
      <c r="B28" s="14">
        <v>10</v>
      </c>
      <c r="C28" s="14">
        <v>10</v>
      </c>
      <c r="D28" s="14">
        <v>10</v>
      </c>
    </row>
    <row r="29" spans="1:6" x14ac:dyDescent="0.25">
      <c r="A29" s="14">
        <v>11</v>
      </c>
      <c r="B29" s="14">
        <f t="shared" ref="B29:C30" si="3">B30</f>
        <v>15</v>
      </c>
      <c r="C29" s="14">
        <f t="shared" si="3"/>
        <v>15</v>
      </c>
      <c r="D29" s="14"/>
    </row>
    <row r="30" spans="1:6" x14ac:dyDescent="0.25">
      <c r="A30" s="14">
        <v>12</v>
      </c>
      <c r="B30" s="14">
        <f t="shared" si="3"/>
        <v>15</v>
      </c>
      <c r="C30" s="14">
        <f t="shared" si="3"/>
        <v>15</v>
      </c>
      <c r="D30" s="14"/>
    </row>
    <row r="31" spans="1:6" x14ac:dyDescent="0.25">
      <c r="A31" s="14">
        <v>13</v>
      </c>
      <c r="B31" s="14">
        <f>B32</f>
        <v>15</v>
      </c>
      <c r="C31" s="14">
        <f>C32</f>
        <v>15</v>
      </c>
      <c r="D31" s="14"/>
    </row>
    <row r="32" spans="1:6" x14ac:dyDescent="0.25">
      <c r="A32" s="14">
        <v>15</v>
      </c>
      <c r="B32" s="14">
        <v>15</v>
      </c>
      <c r="C32" s="14">
        <v>15</v>
      </c>
      <c r="D32" s="14"/>
      <c r="F32" s="16"/>
    </row>
    <row r="33" spans="1:4" x14ac:dyDescent="0.25">
      <c r="A33" s="14">
        <v>16</v>
      </c>
      <c r="B33" s="14">
        <f t="shared" ref="B33:C34" si="4">B34</f>
        <v>22</v>
      </c>
      <c r="C33" s="14">
        <f t="shared" si="4"/>
        <v>22</v>
      </c>
      <c r="D33" s="14"/>
    </row>
    <row r="34" spans="1:4" x14ac:dyDescent="0.25">
      <c r="A34" s="14">
        <v>18</v>
      </c>
      <c r="B34" s="14">
        <f t="shared" si="4"/>
        <v>22</v>
      </c>
      <c r="C34" s="14">
        <f t="shared" si="4"/>
        <v>22</v>
      </c>
      <c r="D34" s="14"/>
    </row>
    <row r="35" spans="1:4" x14ac:dyDescent="0.25">
      <c r="A35" s="14">
        <v>20</v>
      </c>
      <c r="B35" s="14">
        <f>B36</f>
        <v>22</v>
      </c>
      <c r="C35" s="14">
        <f>C36</f>
        <v>22</v>
      </c>
      <c r="D35" s="14"/>
    </row>
    <row r="36" spans="1:4" x14ac:dyDescent="0.25">
      <c r="A36" s="14">
        <v>22</v>
      </c>
      <c r="B36" s="14">
        <v>22</v>
      </c>
      <c r="C36" s="14">
        <v>22</v>
      </c>
      <c r="D36" s="14"/>
    </row>
    <row r="37" spans="1:4" x14ac:dyDescent="0.25">
      <c r="A37" s="14">
        <v>24</v>
      </c>
      <c r="B37" s="14">
        <f t="shared" ref="B37:C38" si="5">B38</f>
        <v>33</v>
      </c>
      <c r="C37" s="14">
        <f t="shared" si="5"/>
        <v>33</v>
      </c>
      <c r="D37" s="14"/>
    </row>
    <row r="38" spans="1:4" x14ac:dyDescent="0.25">
      <c r="A38" s="14">
        <v>27</v>
      </c>
      <c r="B38" s="14">
        <f t="shared" si="5"/>
        <v>33</v>
      </c>
      <c r="C38" s="14">
        <f t="shared" si="5"/>
        <v>33</v>
      </c>
      <c r="D38" s="14"/>
    </row>
    <row r="39" spans="1:4" x14ac:dyDescent="0.25">
      <c r="A39" s="14">
        <v>30</v>
      </c>
      <c r="B39" s="14">
        <f>B40</f>
        <v>33</v>
      </c>
      <c r="C39" s="14">
        <f>C40</f>
        <v>33</v>
      </c>
      <c r="D39" s="14"/>
    </row>
    <row r="40" spans="1:4" x14ac:dyDescent="0.25">
      <c r="A40" s="14">
        <v>33</v>
      </c>
      <c r="B40" s="14">
        <v>33</v>
      </c>
      <c r="C40" s="14">
        <v>33</v>
      </c>
      <c r="D40" s="14"/>
    </row>
    <row r="41" spans="1:4" x14ac:dyDescent="0.25">
      <c r="A41" s="14">
        <v>36</v>
      </c>
      <c r="B41" s="14">
        <f t="shared" ref="B41:C42" si="6">B42</f>
        <v>47</v>
      </c>
      <c r="C41" s="14">
        <f t="shared" si="6"/>
        <v>47</v>
      </c>
      <c r="D41" s="14"/>
    </row>
    <row r="42" spans="1:4" x14ac:dyDescent="0.25">
      <c r="A42" s="14">
        <v>39</v>
      </c>
      <c r="B42" s="14">
        <f t="shared" si="6"/>
        <v>47</v>
      </c>
      <c r="C42" s="14">
        <f t="shared" si="6"/>
        <v>47</v>
      </c>
      <c r="D42" s="14"/>
    </row>
    <row r="43" spans="1:4" x14ac:dyDescent="0.25">
      <c r="A43" s="14">
        <v>43</v>
      </c>
      <c r="B43" s="14">
        <f>B44</f>
        <v>47</v>
      </c>
      <c r="C43" s="14">
        <f>C44</f>
        <v>47</v>
      </c>
      <c r="D43" s="14"/>
    </row>
    <row r="44" spans="1:4" x14ac:dyDescent="0.25">
      <c r="A44" s="14">
        <v>47</v>
      </c>
      <c r="B44" s="14">
        <v>47</v>
      </c>
      <c r="C44" s="14">
        <v>47</v>
      </c>
      <c r="D44" s="14"/>
    </row>
    <row r="45" spans="1:4" x14ac:dyDescent="0.25">
      <c r="A45" s="14">
        <v>51</v>
      </c>
      <c r="B45" s="14">
        <f t="shared" ref="B45:C46" si="7">B46</f>
        <v>68</v>
      </c>
      <c r="C45" s="14">
        <f t="shared" si="7"/>
        <v>68</v>
      </c>
      <c r="D45" s="14"/>
    </row>
    <row r="46" spans="1:4" x14ac:dyDescent="0.25">
      <c r="A46" s="14">
        <v>56</v>
      </c>
      <c r="B46" s="14">
        <f t="shared" si="7"/>
        <v>68</v>
      </c>
      <c r="C46" s="14">
        <f t="shared" si="7"/>
        <v>68</v>
      </c>
      <c r="D46" s="14"/>
    </row>
    <row r="47" spans="1:4" x14ac:dyDescent="0.25">
      <c r="A47" s="14">
        <v>62</v>
      </c>
      <c r="B47" s="14">
        <f>B48</f>
        <v>68</v>
      </c>
      <c r="C47" s="14">
        <f>C48</f>
        <v>68</v>
      </c>
      <c r="D47" s="14"/>
    </row>
    <row r="48" spans="1:4" x14ac:dyDescent="0.25">
      <c r="A48" s="14">
        <v>68</v>
      </c>
      <c r="B48" s="14">
        <v>68</v>
      </c>
      <c r="C48" s="14">
        <v>68</v>
      </c>
      <c r="D48" s="14"/>
    </row>
    <row r="49" spans="1:4" x14ac:dyDescent="0.25">
      <c r="A49" s="14">
        <v>75</v>
      </c>
      <c r="B49" s="14">
        <f t="shared" ref="B49:C50" si="8">B50</f>
        <v>100</v>
      </c>
      <c r="C49" s="14">
        <f t="shared" si="8"/>
        <v>100</v>
      </c>
      <c r="D49" s="14"/>
    </row>
    <row r="50" spans="1:4" x14ac:dyDescent="0.25">
      <c r="A50" s="14">
        <v>82</v>
      </c>
      <c r="B50" s="14">
        <f t="shared" si="8"/>
        <v>100</v>
      </c>
      <c r="C50" s="14">
        <f t="shared" si="8"/>
        <v>100</v>
      </c>
      <c r="D50" s="14"/>
    </row>
    <row r="51" spans="1:4" x14ac:dyDescent="0.25">
      <c r="A51" s="14">
        <v>91</v>
      </c>
      <c r="B51" s="14">
        <f>B52</f>
        <v>100</v>
      </c>
      <c r="C51" s="14">
        <f>C52</f>
        <v>100</v>
      </c>
      <c r="D51" s="14"/>
    </row>
    <row r="52" spans="1:4" x14ac:dyDescent="0.25">
      <c r="A52" s="14">
        <v>100</v>
      </c>
      <c r="B52" s="14">
        <v>100</v>
      </c>
      <c r="C52" s="14">
        <v>100</v>
      </c>
    </row>
    <row r="53" spans="1:4" x14ac:dyDescent="0.25">
      <c r="A53" s="14">
        <v>110</v>
      </c>
      <c r="B53" s="14">
        <f t="shared" ref="B53:C54" si="9">B54</f>
        <v>150</v>
      </c>
      <c r="C53" s="14">
        <f t="shared" si="9"/>
        <v>150</v>
      </c>
    </row>
    <row r="54" spans="1:4" x14ac:dyDescent="0.25">
      <c r="A54" s="14">
        <v>120</v>
      </c>
      <c r="B54" s="14">
        <f t="shared" si="9"/>
        <v>150</v>
      </c>
      <c r="C54" s="14">
        <f t="shared" si="9"/>
        <v>150</v>
      </c>
    </row>
    <row r="55" spans="1:4" x14ac:dyDescent="0.25">
      <c r="A55" s="14">
        <v>130</v>
      </c>
      <c r="B55" s="14">
        <f>B56</f>
        <v>150</v>
      </c>
      <c r="C55" s="14">
        <f>C56</f>
        <v>150</v>
      </c>
    </row>
    <row r="56" spans="1:4" x14ac:dyDescent="0.25">
      <c r="A56" s="14">
        <v>150</v>
      </c>
      <c r="B56" s="14">
        <v>150</v>
      </c>
      <c r="C56" s="14">
        <v>150</v>
      </c>
    </row>
    <row r="57" spans="1:4" x14ac:dyDescent="0.25">
      <c r="A57" s="14">
        <v>160</v>
      </c>
      <c r="B57" s="14">
        <f t="shared" ref="B57:C58" si="10">B58</f>
        <v>220</v>
      </c>
      <c r="C57" s="14">
        <f t="shared" si="10"/>
        <v>220</v>
      </c>
    </row>
    <row r="58" spans="1:4" x14ac:dyDescent="0.25">
      <c r="A58" s="14">
        <v>180</v>
      </c>
      <c r="B58" s="14">
        <f t="shared" si="10"/>
        <v>220</v>
      </c>
      <c r="C58" s="14">
        <f t="shared" si="10"/>
        <v>220</v>
      </c>
    </row>
    <row r="59" spans="1:4" x14ac:dyDescent="0.25">
      <c r="A59" s="14">
        <v>200</v>
      </c>
      <c r="B59" s="14">
        <f>B60</f>
        <v>220</v>
      </c>
      <c r="C59" s="14">
        <f>C60</f>
        <v>220</v>
      </c>
    </row>
    <row r="60" spans="1:4" x14ac:dyDescent="0.25">
      <c r="A60" s="14">
        <v>220</v>
      </c>
      <c r="B60" s="14">
        <v>220</v>
      </c>
      <c r="C60" s="14">
        <v>220</v>
      </c>
    </row>
    <row r="61" spans="1:4" x14ac:dyDescent="0.25">
      <c r="A61" s="14">
        <v>240</v>
      </c>
      <c r="B61" s="14">
        <f t="shared" ref="B61:C62" si="11">B62</f>
        <v>330</v>
      </c>
      <c r="C61" s="14">
        <f t="shared" si="11"/>
        <v>330</v>
      </c>
    </row>
    <row r="62" spans="1:4" x14ac:dyDescent="0.25">
      <c r="A62" s="14">
        <v>270</v>
      </c>
      <c r="B62" s="14">
        <f t="shared" si="11"/>
        <v>330</v>
      </c>
      <c r="C62" s="14">
        <f t="shared" si="11"/>
        <v>330</v>
      </c>
    </row>
    <row r="63" spans="1:4" x14ac:dyDescent="0.25">
      <c r="A63" s="14">
        <v>300</v>
      </c>
      <c r="B63" s="14">
        <f>B64</f>
        <v>330</v>
      </c>
      <c r="C63" s="14">
        <f>C64</f>
        <v>330</v>
      </c>
    </row>
    <row r="64" spans="1:4" x14ac:dyDescent="0.25">
      <c r="A64" s="14">
        <v>330</v>
      </c>
      <c r="B64" s="14">
        <v>330</v>
      </c>
      <c r="C64" s="14">
        <v>330</v>
      </c>
    </row>
    <row r="65" spans="1:3" x14ac:dyDescent="0.25">
      <c r="A65" s="14">
        <v>360</v>
      </c>
      <c r="B65" s="14">
        <f t="shared" ref="B65:C66" si="12">B66</f>
        <v>470</v>
      </c>
      <c r="C65" s="14">
        <f t="shared" si="12"/>
        <v>470</v>
      </c>
    </row>
    <row r="66" spans="1:3" x14ac:dyDescent="0.25">
      <c r="A66" s="14">
        <v>390</v>
      </c>
      <c r="B66" s="14">
        <f t="shared" si="12"/>
        <v>470</v>
      </c>
      <c r="C66" s="14">
        <f t="shared" si="12"/>
        <v>470</v>
      </c>
    </row>
    <row r="67" spans="1:3" x14ac:dyDescent="0.25">
      <c r="A67" s="14">
        <v>430</v>
      </c>
      <c r="B67" s="14">
        <f>B68</f>
        <v>470</v>
      </c>
      <c r="C67" s="14">
        <f>C68</f>
        <v>470</v>
      </c>
    </row>
    <row r="68" spans="1:3" x14ac:dyDescent="0.25">
      <c r="A68" s="14">
        <v>470</v>
      </c>
      <c r="B68" s="14">
        <v>470</v>
      </c>
      <c r="C68" s="14">
        <v>470</v>
      </c>
    </row>
    <row r="69" spans="1:3" x14ac:dyDescent="0.25">
      <c r="A69" s="14">
        <v>510</v>
      </c>
      <c r="B69" s="14">
        <f t="shared" ref="B69:C70" si="13">B70</f>
        <v>680</v>
      </c>
      <c r="C69" s="14">
        <f t="shared" si="13"/>
        <v>680</v>
      </c>
    </row>
    <row r="70" spans="1:3" x14ac:dyDescent="0.25">
      <c r="A70" s="14">
        <v>560</v>
      </c>
      <c r="B70" s="14">
        <f t="shared" si="13"/>
        <v>680</v>
      </c>
      <c r="C70" s="14">
        <f t="shared" si="13"/>
        <v>680</v>
      </c>
    </row>
    <row r="71" spans="1:3" x14ac:dyDescent="0.25">
      <c r="A71" s="14">
        <v>620</v>
      </c>
      <c r="B71" s="14">
        <f>B72</f>
        <v>680</v>
      </c>
      <c r="C71" s="14">
        <f>C72</f>
        <v>680</v>
      </c>
    </row>
    <row r="72" spans="1:3" x14ac:dyDescent="0.25">
      <c r="A72" s="14">
        <v>680</v>
      </c>
      <c r="B72" s="14">
        <v>680</v>
      </c>
      <c r="C72" s="14">
        <v>680</v>
      </c>
    </row>
    <row r="73" spans="1:3" x14ac:dyDescent="0.25">
      <c r="A73" s="14">
        <v>750</v>
      </c>
      <c r="B73" s="14">
        <f>B74</f>
        <v>1000</v>
      </c>
      <c r="C73" s="14">
        <f>C74</f>
        <v>1000</v>
      </c>
    </row>
    <row r="74" spans="1:3" x14ac:dyDescent="0.25">
      <c r="A74" s="14">
        <v>820</v>
      </c>
      <c r="B74" s="14">
        <f>B75</f>
        <v>1000</v>
      </c>
      <c r="C74" s="14">
        <f>C75</f>
        <v>1000</v>
      </c>
    </row>
    <row r="75" spans="1:3" x14ac:dyDescent="0.25">
      <c r="A75" s="14">
        <v>910</v>
      </c>
      <c r="B75" s="14">
        <v>1000</v>
      </c>
      <c r="C75" s="14">
        <v>1000</v>
      </c>
    </row>
  </sheetData>
  <hyperlinks>
    <hyperlink ref="A1:B1" r:id="rId1" display="Standard Capacitor Values" xr:uid="{00000000-0004-0000-0400-000000000000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0B4F0A-AD2C-4CB8-B38E-259BBD6F22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TPS1641x_Calculation Sheet</vt:lpstr>
      <vt:lpstr>Thermal Shutdown Limit Plot</vt:lpstr>
      <vt:lpstr>Res EIA Tables</vt:lpstr>
      <vt:lpstr>Cap Tables</vt:lpstr>
      <vt:lpstr>Cout</vt:lpstr>
      <vt:lpstr>GainIMON</vt:lpstr>
      <vt:lpstr>Icharge_req</vt:lpstr>
      <vt:lpstr>Iout</vt:lpstr>
      <vt:lpstr>R_1</vt:lpstr>
      <vt:lpstr>R_2</vt:lpstr>
      <vt:lpstr>Rdson</vt:lpstr>
      <vt:lpstr>Rlstart</vt:lpstr>
      <vt:lpstr>Tchg_dvdt</vt:lpstr>
      <vt:lpstr>V_ENF</vt:lpstr>
      <vt:lpstr>V_ENR</vt:lpstr>
      <vt:lpstr>V_OVPF</vt:lpstr>
      <vt:lpstr>V_OVPR</vt:lpstr>
      <vt:lpstr>VIN_nom</vt:lpstr>
      <vt:lpstr>Vovp</vt:lpstr>
    </vt:vector>
  </TitlesOfParts>
  <Company>Texas Instruments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vishal.gupta@ti.com</dc:creator>
  <cp:lastModifiedBy>Tom Holland</cp:lastModifiedBy>
  <cp:lastPrinted>2013-06-05T10:58:25Z</cp:lastPrinted>
  <dcterms:created xsi:type="dcterms:W3CDTF">2013-05-30T14:28:05Z</dcterms:created>
  <dcterms:modified xsi:type="dcterms:W3CDTF">2025-12-27T05:18:57Z</dcterms:modified>
</cp:coreProperties>
</file>