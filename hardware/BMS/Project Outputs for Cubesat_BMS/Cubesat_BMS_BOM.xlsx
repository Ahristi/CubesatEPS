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\Documents\CubesatEPS\hardware\BMS\Project Outputs for Cubesat_BMS\"/>
    </mc:Choice>
  </mc:AlternateContent>
  <xr:revisionPtr revIDLastSave="0" documentId="13_ncr:1_{C74481CD-146A-405E-964E-9E1874EE8D3C}" xr6:coauthVersionLast="47" xr6:coauthVersionMax="47" xr10:uidLastSave="{00000000-0000-0000-0000-000000000000}"/>
  <bookViews>
    <workbookView xWindow="4215" yWindow="3030" windowWidth="33015" windowHeight="16575" activeTab="1" xr2:uid="{F9970752-07E1-4827-A7AB-90EC71779753}"/>
  </bookViews>
  <sheets>
    <sheet name="Cubesat_BMS_BOM" sheetId="1" r:id="rId1"/>
    <sheet name="JLCPCB" sheetId="2" r:id="rId2"/>
  </sheets>
  <definedNames>
    <definedName name="_xlnm.Print_Titles" localSheetId="0">Cubesat_BMS_BOM!$1:$1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<sst xmlns="http://schemas.openxmlformats.org/spreadsheetml/2006/main" count="598" uniqueCount="265">
  <si>
    <t>Comment</t>
  </si>
  <si>
    <t>Footprint</t>
  </si>
  <si>
    <t>Description</t>
  </si>
  <si>
    <t>Designator</t>
  </si>
  <si>
    <t>Distributor Part Number</t>
  </si>
  <si>
    <t>Distributor</t>
  </si>
  <si>
    <t>Quantity</t>
  </si>
  <si>
    <t>4x INR18650-35E</t>
  </si>
  <si>
    <t>4S Battery</t>
  </si>
  <si>
    <t>Custom 4S battery component for Cubesat EPS</t>
  </si>
  <si>
    <t>B1</t>
  </si>
  <si>
    <t>N/A</t>
  </si>
  <si>
    <t>M3x0.5x8</t>
  </si>
  <si>
    <t>M3 x 0.50p x 8mm Bolt</t>
  </si>
  <si>
    <t>M3 x 0.50p x 8mm Full Thread Metric Coarse Socket Head Cap Screw (2.5mm Key) A4-70 Stainless G316 DIN 912 / ISO 4762</t>
  </si>
  <si>
    <t>MECH5</t>
  </si>
  <si>
    <t>M3 x 0.50p x 8mm</t>
  </si>
  <si>
    <t>Bolt and Nut Australia</t>
  </si>
  <si>
    <t>MECH6</t>
  </si>
  <si>
    <t>MECH7</t>
  </si>
  <si>
    <t>MECH8</t>
  </si>
  <si>
    <t>MECH9</t>
  </si>
  <si>
    <t>MECH10</t>
  </si>
  <si>
    <t>LS2-110-01-L-D</t>
  </si>
  <si>
    <t>Connector Self Mating 20 Position , Non-Gendered, Hermaphroditic Through Hole Gold</t>
  </si>
  <si>
    <t>J1</t>
  </si>
  <si>
    <t>SAM9665-ND</t>
  </si>
  <si>
    <t>Digikey</t>
  </si>
  <si>
    <t>LVK12R010FER</t>
  </si>
  <si>
    <t>LVK12R050CER-2</t>
  </si>
  <si>
    <t>10 mOhms ±1% 0.5W, 1/2W Chip Resistor 1206 (3216 Metric) Anti-Corrosive, Current Sense, Moisture Resistant Thick Film</t>
  </si>
  <si>
    <t>R20</t>
  </si>
  <si>
    <t>273-LVK12R010FERCT-ND</t>
  </si>
  <si>
    <t>RMCF0805FT100R</t>
  </si>
  <si>
    <t>RESC0805</t>
  </si>
  <si>
    <t>100 Ohms ±1% 0.125W, 1/8W Chip Resistor 0805 (2012 Metric) Automotive AEC-Q200 Thick Film</t>
  </si>
  <si>
    <t>R13</t>
  </si>
  <si>
    <t>RMCF0805FT100RCT-ND</t>
  </si>
  <si>
    <t>SPM7054VT-2R2M-D</t>
  </si>
  <si>
    <t>2.2 µH Shielded Drum Core, Wirewound Inductor 12 A 7.4mOhm Nonstandard</t>
  </si>
  <si>
    <t>L1</t>
  </si>
  <si>
    <t>445-SPM7054VT-2R2M-DCT-ND</t>
  </si>
  <si>
    <t>TT6-10KC8-9-25</t>
  </si>
  <si>
    <t>NTC Thermistor 10k Probe</t>
  </si>
  <si>
    <t>R28</t>
  </si>
  <si>
    <t>1912-TT6-10KC8-9-25-ND</t>
  </si>
  <si>
    <t>TT6-100KC3L-5-AUR</t>
  </si>
  <si>
    <t>R10</t>
  </si>
  <si>
    <t>INR18650-35E</t>
  </si>
  <si>
    <t/>
  </si>
  <si>
    <t>Samsung 3500mAh 18650 Li-Ion battery</t>
  </si>
  <si>
    <t>BAT1</t>
  </si>
  <si>
    <t>SB2632</t>
  </si>
  <si>
    <t>Jaycar</t>
  </si>
  <si>
    <t>BAT2</t>
  </si>
  <si>
    <t>BAT3</t>
  </si>
  <si>
    <t>BAT4</t>
  </si>
  <si>
    <t>0402B104K250NT</t>
  </si>
  <si>
    <t>CAPC0402X020</t>
  </si>
  <si>
    <t>100nF 25V X7R ±10% 0402 Multilayer Ceramic Capacitors MLCC - SMD/SMT ROHS</t>
  </si>
  <si>
    <t>C9</t>
  </si>
  <si>
    <t>C56392</t>
  </si>
  <si>
    <t>JLCPCB</t>
  </si>
  <si>
    <t>C19</t>
  </si>
  <si>
    <t>C20</t>
  </si>
  <si>
    <t>C26</t>
  </si>
  <si>
    <t>C27</t>
  </si>
  <si>
    <t>0603WAF200KT5E</t>
  </si>
  <si>
    <t>RESC0603</t>
  </si>
  <si>
    <t>2Ohm 75V Thick Film Resistor ±1% ±200ppm/℃ 0603 Chip Resistor - Surface Mount ROHS</t>
  </si>
  <si>
    <t>R6</t>
  </si>
  <si>
    <t>C22977</t>
  </si>
  <si>
    <t>0603WAF560JT5E</t>
  </si>
  <si>
    <t>56 Ohms 75V Thick Film Resistor ±1% ±200ppm/℃ 0603 Chip Resistor - Surface Mount ROHS</t>
  </si>
  <si>
    <t>R2</t>
  </si>
  <si>
    <t>C25196</t>
  </si>
  <si>
    <t>R15</t>
  </si>
  <si>
    <t>R16</t>
  </si>
  <si>
    <t>R17</t>
  </si>
  <si>
    <t>R18</t>
  </si>
  <si>
    <t>0603WAF1000T5E</t>
  </si>
  <si>
    <t>100 Ohms 75V Thick Film Resistor ±1% ±100ppm/℃ 0603 Chip Resistor - Surface Mount ROHS</t>
  </si>
  <si>
    <t>R19</t>
  </si>
  <si>
    <t>C22775</t>
  </si>
  <si>
    <t>R21</t>
  </si>
  <si>
    <t>0603WAF1001T5E</t>
  </si>
  <si>
    <t>1 kOhms 75V Thick Film Resistor ±1% ±100ppm/℃ 0603 Chip Resistor - Surface Mount ROHS</t>
  </si>
  <si>
    <t>R1</t>
  </si>
  <si>
    <t>C21190</t>
  </si>
  <si>
    <t>R14</t>
  </si>
  <si>
    <t>R24</t>
  </si>
  <si>
    <t>0603WAF1004T5E</t>
  </si>
  <si>
    <t>1 MOhms 75V Thick Film Resistor ±1% ±100ppm/℃ 0603 Chip Resistor - Surface Mount ROHS</t>
  </si>
  <si>
    <t>R22</t>
  </si>
  <si>
    <t>C22935</t>
  </si>
  <si>
    <t>R25</t>
  </si>
  <si>
    <t>R26</t>
  </si>
  <si>
    <t>R36</t>
  </si>
  <si>
    <t>0603WAF2201T5E</t>
  </si>
  <si>
    <t>2.2kOhms 75V Thick Film Resistor ±1% ±100ppm/℃ 0603 Chip Resistor - Surface Mount ROHS</t>
  </si>
  <si>
    <t>R4</t>
  </si>
  <si>
    <t>C4190</t>
  </si>
  <si>
    <t>R37</t>
  </si>
  <si>
    <t>0603WAF2702T5E</t>
  </si>
  <si>
    <t>27 kOhms 75V Thick Film Resistor ±1% ±100ppm/℃ 0603 Chip Resistor - Surface Mount ROHS</t>
  </si>
  <si>
    <t>R7</t>
  </si>
  <si>
    <t>C22967</t>
  </si>
  <si>
    <t>0603WAF4701T5E</t>
  </si>
  <si>
    <t>4.7 kOhms 75V Thick Film Resistor ±1% ±100ppm/℃ 0603 Chip Resistor - Surface Mount ROHS</t>
  </si>
  <si>
    <t>R23</t>
  </si>
  <si>
    <t>C23162</t>
  </si>
  <si>
    <t>R33</t>
  </si>
  <si>
    <t>0603WAF4702T5E</t>
  </si>
  <si>
    <t>47kOhms 75V Thick Film Resistor ±1% ±100ppm/℃ 0603 Chip Resistor - Surface Mount ROHS</t>
  </si>
  <si>
    <t>R3</t>
  </si>
  <si>
    <t>C25819</t>
  </si>
  <si>
    <t>R32</t>
  </si>
  <si>
    <t>0603WAF4703T5E</t>
  </si>
  <si>
    <t>470kOhms ±1% 100mW 0603 Thick Film Resistor</t>
  </si>
  <si>
    <t>R29</t>
  </si>
  <si>
    <t>C23178</t>
  </si>
  <si>
    <t>0603WAF6043T5E</t>
  </si>
  <si>
    <t>604 kOhms 75V Thick Film Resistor ±1% ±100ppm/℃ 0603 Chip Resistor - Surface Mount ROHS</t>
  </si>
  <si>
    <t>R31</t>
  </si>
  <si>
    <t>C23216</t>
  </si>
  <si>
    <t>0603WAJ0100T5E</t>
  </si>
  <si>
    <t>10 Ohms 75V Thick Film Resistor ±200ppm/℃ ±5% 0603 Chip Resistor - Surface Mount ROHS -55℃~+155℃</t>
  </si>
  <si>
    <t>R5</t>
  </si>
  <si>
    <t>C25202</t>
  </si>
  <si>
    <t>0805B472K500NT</t>
  </si>
  <si>
    <t>CAPC0805X060</t>
  </si>
  <si>
    <t>4.7nF 50V X7R ±10% 0805 Multilayer Ceramic Capacitors MLCC - SMD/SMT ROHS</t>
  </si>
  <si>
    <t>C2</t>
  </si>
  <si>
    <t>C1744</t>
  </si>
  <si>
    <t>0805W8F0000T5E</t>
  </si>
  <si>
    <t>0 Ohms 125mW 150V Thick Film Resistor ±1% ±800ppm/℃ 0805 Chip Resistor - Surface Mount ROHS</t>
  </si>
  <si>
    <t>R8</t>
  </si>
  <si>
    <t>C17477</t>
  </si>
  <si>
    <t>0805W8F1002T5E</t>
  </si>
  <si>
    <t>10kOhms 125mW 150V Thick Film Resistor ±1% ±100ppm/℃ 0805 Chip Resistor - Surface Mount ROHS</t>
  </si>
  <si>
    <t>R27</t>
  </si>
  <si>
    <t>C17414</t>
  </si>
  <si>
    <t>R30</t>
  </si>
  <si>
    <t>0805W8F1003T5E</t>
  </si>
  <si>
    <t>100 kOhms 125mW 150V Thick Film Resistor ±1% ±100ppm/℃ 0805 Chip Resistor - Surface Mount ROHS</t>
  </si>
  <si>
    <t>R35</t>
  </si>
  <si>
    <t>C149504</t>
  </si>
  <si>
    <t>0805W8F3303T5E</t>
  </si>
  <si>
    <t>330 kOhms Thick Film Resistor ±1% ±100ppm/℃ 0805 Chip Resistor - Surface Mount ROHS</t>
  </si>
  <si>
    <t>R12</t>
  </si>
  <si>
    <t>C17629</t>
  </si>
  <si>
    <t>0805W8F4703T5E</t>
  </si>
  <si>
    <t>470 kOhms Thick Film Resistor ±1% ±100ppm/℃ 0805 Chip Resistor - Surface Mount ROHS</t>
  </si>
  <si>
    <t>R34</t>
  </si>
  <si>
    <t>C17709</t>
  </si>
  <si>
    <t>0532610471</t>
  </si>
  <si>
    <t>Connector Header Surface Mount, Right Angle 4 position 0.049" (1.25mm) Molex Picoblade</t>
  </si>
  <si>
    <t>J2</t>
  </si>
  <si>
    <t>C225113</t>
  </si>
  <si>
    <t>0532610571</t>
  </si>
  <si>
    <t>Connector Header Surface Mount, Right Angle 5 position 0.049" (1.25mm) Picoblade</t>
  </si>
  <si>
    <t>J3</t>
  </si>
  <si>
    <t>C225114</t>
  </si>
  <si>
    <t>0532610671</t>
  </si>
  <si>
    <t>Connector Header Surface Mount, Right Angle 6 position 0.049" (1.25mm) Picoblade</t>
  </si>
  <si>
    <t>J4</t>
  </si>
  <si>
    <t>C225115</t>
  </si>
  <si>
    <t>BAV20WS-7-F0</t>
  </si>
  <si>
    <t>SOD-323</t>
  </si>
  <si>
    <t>Small Signal Switching Diode 150V 200mW</t>
  </si>
  <si>
    <t>D2</t>
  </si>
  <si>
    <t>C151448</t>
  </si>
  <si>
    <t>BQ25792RQMR</t>
  </si>
  <si>
    <t>I2C Controlled, 1-4 Cell, 5-A Buck-Boost Battery Charger with Dual-Input_x000D_
Selector and USB PD 3.0 OTG Output</t>
  </si>
  <si>
    <t>U1</t>
  </si>
  <si>
    <t>C2862876</t>
  </si>
  <si>
    <t>BQ7791500PWR</t>
  </si>
  <si>
    <t>TSSOP-24</t>
  </si>
  <si>
    <t>Battery Battery Protection IC Lithium Ion/Polymer 24-TSSOP</t>
  </si>
  <si>
    <t>U3</t>
  </si>
  <si>
    <t>C2876946</t>
  </si>
  <si>
    <t>BSC026N08NS5</t>
  </si>
  <si>
    <t>PG-TDSON-8-5</t>
  </si>
  <si>
    <t>80V N-Channel 23A (Ta), 100A (Tc) 2.5W (Ta), 156W (Tc) Surface Mount PG-TDSON-8-6</t>
  </si>
  <si>
    <t>Q1</t>
  </si>
  <si>
    <t>C5955453</t>
  </si>
  <si>
    <t>Q4</t>
  </si>
  <si>
    <t>Q5</t>
  </si>
  <si>
    <t>Q6</t>
  </si>
  <si>
    <t>BZT52C12T-7</t>
  </si>
  <si>
    <t>SOD-523</t>
  </si>
  <si>
    <t>Zener Diode 12 V 300 mW ±5% Surface Mount SOD-523</t>
  </si>
  <si>
    <t>D1</t>
  </si>
  <si>
    <t>C507911</t>
  </si>
  <si>
    <t>D3</t>
  </si>
  <si>
    <t>CC0603KRX7R9BB104</t>
  </si>
  <si>
    <t>CAPC0603X040</t>
  </si>
  <si>
    <t>100nF 50V X7R ±10% 0603 Multilayer Ceramic Capacitors MLCC - SMD/SMT ROHS</t>
  </si>
  <si>
    <t>C32</t>
  </si>
  <si>
    <t>C14663</t>
  </si>
  <si>
    <t>C33</t>
  </si>
  <si>
    <t>C34</t>
  </si>
  <si>
    <t>CL10A105KB8NNNC</t>
  </si>
  <si>
    <t>1uF 50V X5R ±10% 0603 Multilayer Ceramic Capacitors MLCC - SMD/SMT ROHS</t>
  </si>
  <si>
    <t>C3</t>
  </si>
  <si>
    <t>C15849</t>
  </si>
  <si>
    <t>C4</t>
  </si>
  <si>
    <t>C5</t>
  </si>
  <si>
    <t>C28</t>
  </si>
  <si>
    <t>C29</t>
  </si>
  <si>
    <t>C30</t>
  </si>
  <si>
    <t>C31</t>
  </si>
  <si>
    <t>CL10B102KB8NNNC</t>
  </si>
  <si>
    <t>1nF 50V X7R ±10% 0603 Multilayer Ceramic Capacitors MLCC - SMD/SMT ROHS</t>
  </si>
  <si>
    <t>C6</t>
  </si>
  <si>
    <t>C1588</t>
  </si>
  <si>
    <t>CL10B473KB8NNNC</t>
  </si>
  <si>
    <t>47nF 50V X7R ±10% 0603 Multilayer Ceramic Capacitors MLCC - SMD/SMT ROHS</t>
  </si>
  <si>
    <t>C12</t>
  </si>
  <si>
    <t>C1622</t>
  </si>
  <si>
    <t>C13</t>
  </si>
  <si>
    <t>CL21A225KBQNNNE</t>
  </si>
  <si>
    <t>2.2uF 50V X5R ±10% 0805 Multilayer Ceramic Capacitors MLCC - SMD/SMT ROHS</t>
  </si>
  <si>
    <t>C10</t>
  </si>
  <si>
    <t>C377773</t>
  </si>
  <si>
    <t>CL21A475KAQNNNE</t>
  </si>
  <si>
    <t>4.7 µF ±10% 25V Ceramic Capacitor X5R 0805 (2012 Metric)</t>
  </si>
  <si>
    <t>C11</t>
  </si>
  <si>
    <t>C1779</t>
  </si>
  <si>
    <t>CL32B106KBJNNNE</t>
  </si>
  <si>
    <t>CAPC1210X090</t>
  </si>
  <si>
    <t>10 µF ±10% 50V Ceramic Capacitor X7R 1210 (3225 Metric)</t>
  </si>
  <si>
    <t>C7</t>
  </si>
  <si>
    <t>C138687</t>
  </si>
  <si>
    <t>C8</t>
  </si>
  <si>
    <t>C14</t>
  </si>
  <si>
    <t>C15</t>
  </si>
  <si>
    <t>C16</t>
  </si>
  <si>
    <t>C17</t>
  </si>
  <si>
    <t>C18</t>
  </si>
  <si>
    <t>C21</t>
  </si>
  <si>
    <t>C22</t>
  </si>
  <si>
    <t>C23</t>
  </si>
  <si>
    <t>C24</t>
  </si>
  <si>
    <t>C25</t>
  </si>
  <si>
    <t>C35</t>
  </si>
  <si>
    <t>NCD0805R1</t>
  </si>
  <si>
    <t>LEDR_0805</t>
  </si>
  <si>
    <t>LED Red 0805 1.6V~2.6V 130° 195mcd 25mA 615nm~630nm 630nm 65mW</t>
  </si>
  <si>
    <t>D4</t>
  </si>
  <si>
    <t>C84256</t>
  </si>
  <si>
    <t>RTT059311FTP</t>
  </si>
  <si>
    <t>9.31 kOhms Thick Film Resistor ±1% ±100ppm/℃ 0805 Chip Resistor - Surface Mount ROHS</t>
  </si>
  <si>
    <t>R11</t>
  </si>
  <si>
    <t>C158169</t>
  </si>
  <si>
    <t>TPS259474LRPWR</t>
  </si>
  <si>
    <t>VFQFN-10</t>
  </si>
  <si>
    <t>eFuse 5.5A, 2.7V~23V, 28mOhm, Reverse Current Blocking with Input Reverse Polarity Protection</t>
  </si>
  <si>
    <t>U2</t>
  </si>
  <si>
    <t>C2864845</t>
  </si>
  <si>
    <t>CL21B103KBANNNC</t>
  </si>
  <si>
    <t>10nF ±10% 50V Ceramic Capacitor X7R 0805 (2012 Metric)</t>
  </si>
  <si>
    <t>C1</t>
  </si>
  <si>
    <t>C1710</t>
  </si>
  <si>
    <t>JLCPCB Part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</si>
</sst>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0" xfId="0" applyFill="1"/>
    <xf numFmtId="0" fontId="0" fillId="0" borderId="2" xfId="0" quotePrefix="1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quotePrefix="1" applyBorder="1"/>
    <xf numFmtId="0" fontId="0" fillId="0" borderId="8" xfId="0" quotePrefix="1" applyBorder="1"/>
    <xf numFmtId="0" fontId="0" fillId="0" borderId="9" xfId="0" applyBorder="1"/>
  </cellXfs>
  <cellStyles count="1">
    <cellStyle name="Normal" xfId="0" builtinId="0"/>
  </cellStyles>
  <dxfs count="1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D3D3D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69F449-55EB-457B-A006-DE1C26097B1B}" name="Table1" displayName="Table1" ref="A1:G99" totalsRowShown="0" headerRowDxfId="10" headerRowBorderDxfId="9" tableBorderDxfId="8" totalsRowBorderDxfId="7">
  <autoFilter ref="A1:G99" xr:uid="{8769F449-55EB-457B-A006-DE1C26097B1B}"/>
  <tableColumns count="7">
    <tableColumn id="1" xr3:uid="{73D0EA18-F277-4C4F-9714-0C75A311A345}" name="Comment" dataDxfId="6"/>
    <tableColumn id="2" xr3:uid="{58C8E01C-A80E-45BF-BC7E-F83C02D5F0AB}" name="Footprint" dataDxfId="5"/>
    <tableColumn id="3" xr3:uid="{E1E1BB5D-748B-4906-AC26-BA8806D9ADC4}" name="Description" dataDxfId="4"/>
    <tableColumn id="4" xr3:uid="{830216B0-7C40-41BB-8313-5F6312FBD7BE}" name="Designator" dataDxfId="3"/>
    <tableColumn id="5" xr3:uid="{1403EA05-0D0D-4B3B-836A-F3573164AB2D}" name="Distributor Part Number" dataDxfId="2"/>
    <tableColumn id="6" xr3:uid="{FA26E98D-1A1C-45CA-8E89-B359774A6EA7}" name="Distributor" dataDxfId="1"/>
    <tableColumn id="7" xr3:uid="{8EAF3855-60C3-4CC6-8B98-97F62388997F}" name="Quant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2AF7B-4FCF-400D-9B5C-F47BF3C34A35}">
  <dimension ref="A1:G99"/>
  <sheetViews>
    <sheetView topLeftCell="A62" workbookViewId="0">
      <selection activeCell="I91" sqref="I91"/>
    </sheetView>
  </sheetViews>
  <sheetFormatPr defaultRowHeight="15" x14ac:dyDescent="0.25"/>
  <cols>
    <col min="1" max="1" width="23.42578125" customWidth="1"/>
    <col min="2" max="4" width="16.5703125" customWidth="1"/>
    <col min="5" max="5" width="24.7109375" customWidth="1"/>
    <col min="6" max="6" width="22.5703125" customWidth="1"/>
    <col min="7" max="7" width="11.28515625" customWidth="1"/>
  </cols>
  <sheetData>
    <row r="1" spans="1:7" s="4" customForma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</row>
    <row r="2" spans="1:7" x14ac:dyDescent="0.25">
      <c r="A2" s="5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/>
      <c r="G2" s="6">
        <v>1</v>
      </c>
    </row>
    <row r="3" spans="1:7" x14ac:dyDescent="0.25">
      <c r="A3" s="5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6">
        <v>1</v>
      </c>
    </row>
    <row r="4" spans="1:7" x14ac:dyDescent="0.25">
      <c r="A4" s="5" t="s">
        <v>12</v>
      </c>
      <c r="B4" s="2" t="s">
        <v>13</v>
      </c>
      <c r="C4" s="2" t="s">
        <v>14</v>
      </c>
      <c r="D4" s="2" t="s">
        <v>18</v>
      </c>
      <c r="E4" s="2" t="s">
        <v>16</v>
      </c>
      <c r="F4" s="2" t="s">
        <v>17</v>
      </c>
      <c r="G4" s="6">
        <v>1</v>
      </c>
    </row>
    <row r="5" spans="1:7" x14ac:dyDescent="0.25">
      <c r="A5" s="5" t="s">
        <v>12</v>
      </c>
      <c r="B5" s="2" t="s">
        <v>13</v>
      </c>
      <c r="C5" s="2" t="s">
        <v>14</v>
      </c>
      <c r="D5" s="2" t="s">
        <v>19</v>
      </c>
      <c r="E5" s="2" t="s">
        <v>16</v>
      </c>
      <c r="F5" s="2" t="s">
        <v>17</v>
      </c>
      <c r="G5" s="6">
        <v>1</v>
      </c>
    </row>
    <row r="6" spans="1:7" x14ac:dyDescent="0.25">
      <c r="A6" s="5" t="s">
        <v>12</v>
      </c>
      <c r="B6" s="2" t="s">
        <v>13</v>
      </c>
      <c r="C6" s="2" t="s">
        <v>14</v>
      </c>
      <c r="D6" s="2" t="s">
        <v>20</v>
      </c>
      <c r="E6" s="2" t="s">
        <v>16</v>
      </c>
      <c r="F6" s="2" t="s">
        <v>17</v>
      </c>
      <c r="G6" s="6">
        <v>1</v>
      </c>
    </row>
    <row r="7" spans="1:7" x14ac:dyDescent="0.25">
      <c r="A7" s="5" t="s">
        <v>12</v>
      </c>
      <c r="B7" s="2" t="s">
        <v>13</v>
      </c>
      <c r="C7" s="2" t="s">
        <v>14</v>
      </c>
      <c r="D7" s="2" t="s">
        <v>21</v>
      </c>
      <c r="E7" s="2" t="s">
        <v>16</v>
      </c>
      <c r="F7" s="2" t="s">
        <v>17</v>
      </c>
      <c r="G7" s="6">
        <v>1</v>
      </c>
    </row>
    <row r="8" spans="1:7" x14ac:dyDescent="0.25">
      <c r="A8" s="5" t="s">
        <v>12</v>
      </c>
      <c r="B8" s="2" t="s">
        <v>13</v>
      </c>
      <c r="C8" s="2" t="s">
        <v>14</v>
      </c>
      <c r="D8" s="2" t="s">
        <v>22</v>
      </c>
      <c r="E8" s="2" t="s">
        <v>16</v>
      </c>
      <c r="F8" s="2" t="s">
        <v>17</v>
      </c>
      <c r="G8" s="6">
        <v>1</v>
      </c>
    </row>
    <row r="9" spans="1:7" x14ac:dyDescent="0.25">
      <c r="A9" s="5" t="s">
        <v>23</v>
      </c>
      <c r="B9" s="2" t="s">
        <v>23</v>
      </c>
      <c r="C9" s="2" t="s">
        <v>24</v>
      </c>
      <c r="D9" s="2" t="s">
        <v>25</v>
      </c>
      <c r="E9" s="2" t="s">
        <v>26</v>
      </c>
      <c r="F9" s="2" t="s">
        <v>27</v>
      </c>
      <c r="G9" s="6">
        <v>1</v>
      </c>
    </row>
    <row r="10" spans="1:7" x14ac:dyDescent="0.25">
      <c r="A10" s="5" t="s">
        <v>28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27</v>
      </c>
      <c r="G10" s="6">
        <v>1</v>
      </c>
    </row>
    <row r="11" spans="1:7" x14ac:dyDescent="0.25">
      <c r="A11" s="5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27</v>
      </c>
      <c r="G11" s="6">
        <v>1</v>
      </c>
    </row>
    <row r="12" spans="1:7" x14ac:dyDescent="0.25">
      <c r="A12" s="5" t="s">
        <v>38</v>
      </c>
      <c r="B12" s="2" t="s">
        <v>38</v>
      </c>
      <c r="C12" s="2" t="s">
        <v>39</v>
      </c>
      <c r="D12" s="2" t="s">
        <v>40</v>
      </c>
      <c r="E12" s="2" t="s">
        <v>41</v>
      </c>
      <c r="F12" s="2" t="s">
        <v>27</v>
      </c>
      <c r="G12" s="6">
        <v>1</v>
      </c>
    </row>
    <row r="13" spans="1:7" x14ac:dyDescent="0.25">
      <c r="A13" s="5" t="s">
        <v>42</v>
      </c>
      <c r="B13" s="2" t="s">
        <v>42</v>
      </c>
      <c r="C13" s="2" t="s">
        <v>43</v>
      </c>
      <c r="D13" s="2" t="s">
        <v>44</v>
      </c>
      <c r="E13" s="2" t="s">
        <v>45</v>
      </c>
      <c r="F13" s="2" t="s">
        <v>27</v>
      </c>
      <c r="G13" s="6">
        <v>1</v>
      </c>
    </row>
    <row r="14" spans="1:7" x14ac:dyDescent="0.25">
      <c r="A14" s="5" t="s">
        <v>46</v>
      </c>
      <c r="B14" s="2" t="s">
        <v>42</v>
      </c>
      <c r="C14" s="2" t="s">
        <v>43</v>
      </c>
      <c r="D14" s="2" t="s">
        <v>47</v>
      </c>
      <c r="E14" s="2" t="s">
        <v>45</v>
      </c>
      <c r="F14" s="2" t="s">
        <v>27</v>
      </c>
      <c r="G14" s="6">
        <v>1</v>
      </c>
    </row>
    <row r="15" spans="1:7" x14ac:dyDescent="0.25">
      <c r="A15" s="5" t="s">
        <v>48</v>
      </c>
      <c r="B15" s="2" t="s">
        <v>49</v>
      </c>
      <c r="C15" s="2" t="s">
        <v>50</v>
      </c>
      <c r="D15" s="2" t="s">
        <v>51</v>
      </c>
      <c r="E15" s="2" t="s">
        <v>52</v>
      </c>
      <c r="F15" s="2" t="s">
        <v>53</v>
      </c>
      <c r="G15" s="6">
        <v>1</v>
      </c>
    </row>
    <row r="16" spans="1:7" x14ac:dyDescent="0.25">
      <c r="A16" s="5" t="s">
        <v>48</v>
      </c>
      <c r="B16" s="2" t="s">
        <v>49</v>
      </c>
      <c r="C16" s="2" t="s">
        <v>50</v>
      </c>
      <c r="D16" s="2" t="s">
        <v>54</v>
      </c>
      <c r="E16" s="2" t="s">
        <v>52</v>
      </c>
      <c r="F16" s="2" t="s">
        <v>53</v>
      </c>
      <c r="G16" s="6">
        <v>1</v>
      </c>
    </row>
    <row r="17" spans="1:7" x14ac:dyDescent="0.25">
      <c r="A17" s="5" t="s">
        <v>48</v>
      </c>
      <c r="B17" s="2" t="s">
        <v>49</v>
      </c>
      <c r="C17" s="2" t="s">
        <v>50</v>
      </c>
      <c r="D17" s="2" t="s">
        <v>55</v>
      </c>
      <c r="E17" s="2" t="s">
        <v>52</v>
      </c>
      <c r="F17" s="2" t="s">
        <v>53</v>
      </c>
      <c r="G17" s="6">
        <v>1</v>
      </c>
    </row>
    <row r="18" spans="1:7" x14ac:dyDescent="0.25">
      <c r="A18" s="5" t="s">
        <v>48</v>
      </c>
      <c r="B18" s="2" t="s">
        <v>49</v>
      </c>
      <c r="C18" s="2" t="s">
        <v>50</v>
      </c>
      <c r="D18" s="2" t="s">
        <v>56</v>
      </c>
      <c r="E18" s="2" t="s">
        <v>52</v>
      </c>
      <c r="F18" s="2" t="s">
        <v>53</v>
      </c>
      <c r="G18" s="6">
        <v>1</v>
      </c>
    </row>
    <row r="19" spans="1:7" x14ac:dyDescent="0.25">
      <c r="A19" s="5" t="s">
        <v>57</v>
      </c>
      <c r="B19" s="2" t="s">
        <v>58</v>
      </c>
      <c r="C19" s="2" t="s">
        <v>59</v>
      </c>
      <c r="D19" s="2" t="s">
        <v>60</v>
      </c>
      <c r="E19" s="2" t="s">
        <v>61</v>
      </c>
      <c r="F19" s="2" t="s">
        <v>62</v>
      </c>
      <c r="G19" s="6">
        <v>1</v>
      </c>
    </row>
    <row r="20" spans="1:7" x14ac:dyDescent="0.25">
      <c r="A20" s="5" t="s">
        <v>57</v>
      </c>
      <c r="B20" s="2" t="s">
        <v>58</v>
      </c>
      <c r="C20" s="2" t="s">
        <v>59</v>
      </c>
      <c r="D20" s="2" t="s">
        <v>63</v>
      </c>
      <c r="E20" s="2" t="s">
        <v>61</v>
      </c>
      <c r="F20" s="2" t="s">
        <v>62</v>
      </c>
      <c r="G20" s="6">
        <v>1</v>
      </c>
    </row>
    <row r="21" spans="1:7" x14ac:dyDescent="0.25">
      <c r="A21" s="5" t="s">
        <v>57</v>
      </c>
      <c r="B21" s="2" t="s">
        <v>58</v>
      </c>
      <c r="C21" s="2" t="s">
        <v>59</v>
      </c>
      <c r="D21" s="2" t="s">
        <v>64</v>
      </c>
      <c r="E21" s="2" t="s">
        <v>61</v>
      </c>
      <c r="F21" s="2" t="s">
        <v>62</v>
      </c>
      <c r="G21" s="6">
        <v>1</v>
      </c>
    </row>
    <row r="22" spans="1:7" x14ac:dyDescent="0.25">
      <c r="A22" s="5" t="s">
        <v>57</v>
      </c>
      <c r="B22" s="2" t="s">
        <v>58</v>
      </c>
      <c r="C22" s="2" t="s">
        <v>59</v>
      </c>
      <c r="D22" s="2" t="s">
        <v>65</v>
      </c>
      <c r="E22" s="2" t="s">
        <v>61</v>
      </c>
      <c r="F22" s="2" t="s">
        <v>62</v>
      </c>
      <c r="G22" s="6">
        <v>1</v>
      </c>
    </row>
    <row r="23" spans="1:7" x14ac:dyDescent="0.25">
      <c r="A23" s="5" t="s">
        <v>57</v>
      </c>
      <c r="B23" s="2" t="s">
        <v>58</v>
      </c>
      <c r="C23" s="2" t="s">
        <v>59</v>
      </c>
      <c r="D23" s="2" t="s">
        <v>66</v>
      </c>
      <c r="E23" s="2" t="s">
        <v>61</v>
      </c>
      <c r="F23" s="2" t="s">
        <v>62</v>
      </c>
      <c r="G23" s="6">
        <v>1</v>
      </c>
    </row>
    <row r="24" spans="1:7" x14ac:dyDescent="0.25">
      <c r="A24" s="5" t="s">
        <v>67</v>
      </c>
      <c r="B24" s="2" t="s">
        <v>68</v>
      </c>
      <c r="C24" s="2" t="s">
        <v>69</v>
      </c>
      <c r="D24" s="2" t="s">
        <v>70</v>
      </c>
      <c r="E24" s="2" t="s">
        <v>71</v>
      </c>
      <c r="F24" s="2" t="s">
        <v>62</v>
      </c>
      <c r="G24" s="6">
        <v>1</v>
      </c>
    </row>
    <row r="25" spans="1:7" x14ac:dyDescent="0.25">
      <c r="A25" s="5" t="s">
        <v>72</v>
      </c>
      <c r="B25" s="2" t="s">
        <v>68</v>
      </c>
      <c r="C25" s="2" t="s">
        <v>73</v>
      </c>
      <c r="D25" s="2" t="s">
        <v>74</v>
      </c>
      <c r="E25" s="2" t="s">
        <v>75</v>
      </c>
      <c r="F25" s="2" t="s">
        <v>62</v>
      </c>
      <c r="G25" s="6">
        <v>1</v>
      </c>
    </row>
    <row r="26" spans="1:7" x14ac:dyDescent="0.25">
      <c r="A26" s="5" t="s">
        <v>72</v>
      </c>
      <c r="B26" s="2" t="s">
        <v>68</v>
      </c>
      <c r="C26" s="2" t="s">
        <v>73</v>
      </c>
      <c r="D26" s="2" t="s">
        <v>76</v>
      </c>
      <c r="E26" s="2" t="s">
        <v>75</v>
      </c>
      <c r="F26" s="2" t="s">
        <v>62</v>
      </c>
      <c r="G26" s="6">
        <v>1</v>
      </c>
    </row>
    <row r="27" spans="1:7" x14ac:dyDescent="0.25">
      <c r="A27" s="5" t="s">
        <v>72</v>
      </c>
      <c r="B27" s="2" t="s">
        <v>68</v>
      </c>
      <c r="C27" s="2" t="s">
        <v>73</v>
      </c>
      <c r="D27" s="2" t="s">
        <v>77</v>
      </c>
      <c r="E27" s="2" t="s">
        <v>75</v>
      </c>
      <c r="F27" s="2" t="s">
        <v>62</v>
      </c>
      <c r="G27" s="6">
        <v>1</v>
      </c>
    </row>
    <row r="28" spans="1:7" x14ac:dyDescent="0.25">
      <c r="A28" s="5" t="s">
        <v>72</v>
      </c>
      <c r="B28" s="2" t="s">
        <v>68</v>
      </c>
      <c r="C28" s="2" t="s">
        <v>73</v>
      </c>
      <c r="D28" s="2" t="s">
        <v>78</v>
      </c>
      <c r="E28" s="2" t="s">
        <v>75</v>
      </c>
      <c r="F28" s="2" t="s">
        <v>62</v>
      </c>
      <c r="G28" s="6">
        <v>1</v>
      </c>
    </row>
    <row r="29" spans="1:7" x14ac:dyDescent="0.25">
      <c r="A29" s="5" t="s">
        <v>72</v>
      </c>
      <c r="B29" s="2" t="s">
        <v>68</v>
      </c>
      <c r="C29" s="2" t="s">
        <v>73</v>
      </c>
      <c r="D29" s="2" t="s">
        <v>79</v>
      </c>
      <c r="E29" s="2" t="s">
        <v>75</v>
      </c>
      <c r="F29" s="2" t="s">
        <v>62</v>
      </c>
      <c r="G29" s="6">
        <v>1</v>
      </c>
    </row>
    <row r="30" spans="1:7" x14ac:dyDescent="0.25">
      <c r="A30" s="5" t="s">
        <v>80</v>
      </c>
      <c r="B30" s="2" t="s">
        <v>68</v>
      </c>
      <c r="C30" s="2" t="s">
        <v>81</v>
      </c>
      <c r="D30" s="2" t="s">
        <v>82</v>
      </c>
      <c r="E30" s="2" t="s">
        <v>83</v>
      </c>
      <c r="F30" s="2" t="s">
        <v>62</v>
      </c>
      <c r="G30" s="6">
        <v>1</v>
      </c>
    </row>
    <row r="31" spans="1:7" x14ac:dyDescent="0.25">
      <c r="A31" s="5" t="s">
        <v>80</v>
      </c>
      <c r="B31" s="2" t="s">
        <v>68</v>
      </c>
      <c r="C31" s="2" t="s">
        <v>81</v>
      </c>
      <c r="D31" s="2" t="s">
        <v>84</v>
      </c>
      <c r="E31" s="2" t="s">
        <v>83</v>
      </c>
      <c r="F31" s="2" t="s">
        <v>62</v>
      </c>
      <c r="G31" s="6">
        <v>1</v>
      </c>
    </row>
    <row r="32" spans="1:7" x14ac:dyDescent="0.25">
      <c r="A32" s="5" t="s">
        <v>85</v>
      </c>
      <c r="B32" s="2" t="s">
        <v>68</v>
      </c>
      <c r="C32" s="2" t="s">
        <v>86</v>
      </c>
      <c r="D32" s="2" t="s">
        <v>87</v>
      </c>
      <c r="E32" s="2" t="s">
        <v>88</v>
      </c>
      <c r="F32" s="2" t="s">
        <v>62</v>
      </c>
      <c r="G32" s="6">
        <v>1</v>
      </c>
    </row>
    <row r="33" spans="1:7" x14ac:dyDescent="0.25">
      <c r="A33" s="5" t="s">
        <v>85</v>
      </c>
      <c r="B33" s="2" t="s">
        <v>68</v>
      </c>
      <c r="C33" s="2" t="s">
        <v>86</v>
      </c>
      <c r="D33" s="2" t="s">
        <v>89</v>
      </c>
      <c r="E33" s="2" t="s">
        <v>88</v>
      </c>
      <c r="F33" s="2" t="s">
        <v>62</v>
      </c>
      <c r="G33" s="6">
        <v>1</v>
      </c>
    </row>
    <row r="34" spans="1:7" x14ac:dyDescent="0.25">
      <c r="A34" s="5" t="s">
        <v>85</v>
      </c>
      <c r="B34" s="2" t="s">
        <v>68</v>
      </c>
      <c r="C34" s="2" t="s">
        <v>86</v>
      </c>
      <c r="D34" s="2" t="s">
        <v>90</v>
      </c>
      <c r="E34" s="2" t="s">
        <v>88</v>
      </c>
      <c r="F34" s="2" t="s">
        <v>62</v>
      </c>
      <c r="G34" s="6">
        <v>1</v>
      </c>
    </row>
    <row r="35" spans="1:7" x14ac:dyDescent="0.25">
      <c r="A35" s="5" t="s">
        <v>91</v>
      </c>
      <c r="B35" s="2" t="s">
        <v>68</v>
      </c>
      <c r="C35" s="2" t="s">
        <v>92</v>
      </c>
      <c r="D35" s="2" t="s">
        <v>93</v>
      </c>
      <c r="E35" s="2" t="s">
        <v>94</v>
      </c>
      <c r="F35" s="2" t="s">
        <v>62</v>
      </c>
      <c r="G35" s="6">
        <v>1</v>
      </c>
    </row>
    <row r="36" spans="1:7" x14ac:dyDescent="0.25">
      <c r="A36" s="5" t="s">
        <v>91</v>
      </c>
      <c r="B36" s="2" t="s">
        <v>68</v>
      </c>
      <c r="C36" s="2" t="s">
        <v>92</v>
      </c>
      <c r="D36" s="2" t="s">
        <v>95</v>
      </c>
      <c r="E36" s="2" t="s">
        <v>94</v>
      </c>
      <c r="F36" s="2" t="s">
        <v>62</v>
      </c>
      <c r="G36" s="6">
        <v>1</v>
      </c>
    </row>
    <row r="37" spans="1:7" x14ac:dyDescent="0.25">
      <c r="A37" s="5" t="s">
        <v>91</v>
      </c>
      <c r="B37" s="2" t="s">
        <v>68</v>
      </c>
      <c r="C37" s="2" t="s">
        <v>92</v>
      </c>
      <c r="D37" s="2" t="s">
        <v>96</v>
      </c>
      <c r="E37" s="2" t="s">
        <v>94</v>
      </c>
      <c r="F37" s="2" t="s">
        <v>62</v>
      </c>
      <c r="G37" s="6">
        <v>1</v>
      </c>
    </row>
    <row r="38" spans="1:7" x14ac:dyDescent="0.25">
      <c r="A38" s="5" t="s">
        <v>91</v>
      </c>
      <c r="B38" s="2" t="s">
        <v>68</v>
      </c>
      <c r="C38" s="2" t="s">
        <v>92</v>
      </c>
      <c r="D38" s="2" t="s">
        <v>97</v>
      </c>
      <c r="E38" s="2" t="s">
        <v>94</v>
      </c>
      <c r="F38" s="2" t="s">
        <v>62</v>
      </c>
      <c r="G38" s="6">
        <v>1</v>
      </c>
    </row>
    <row r="39" spans="1:7" x14ac:dyDescent="0.25">
      <c r="A39" s="5" t="s">
        <v>98</v>
      </c>
      <c r="B39" s="2" t="s">
        <v>68</v>
      </c>
      <c r="C39" s="2" t="s">
        <v>99</v>
      </c>
      <c r="D39" s="2" t="s">
        <v>100</v>
      </c>
      <c r="E39" s="2" t="s">
        <v>101</v>
      </c>
      <c r="F39" s="2" t="s">
        <v>62</v>
      </c>
      <c r="G39" s="6">
        <v>1</v>
      </c>
    </row>
    <row r="40" spans="1:7" x14ac:dyDescent="0.25">
      <c r="A40" s="5" t="s">
        <v>98</v>
      </c>
      <c r="B40" s="2" t="s">
        <v>68</v>
      </c>
      <c r="C40" s="2" t="s">
        <v>99</v>
      </c>
      <c r="D40" s="2" t="s">
        <v>102</v>
      </c>
      <c r="E40" s="2" t="s">
        <v>101</v>
      </c>
      <c r="F40" s="2" t="s">
        <v>62</v>
      </c>
      <c r="G40" s="6">
        <v>1</v>
      </c>
    </row>
    <row r="41" spans="1:7" x14ac:dyDescent="0.25">
      <c r="A41" s="5" t="s">
        <v>103</v>
      </c>
      <c r="B41" s="2" t="s">
        <v>68</v>
      </c>
      <c r="C41" s="2" t="s">
        <v>104</v>
      </c>
      <c r="D41" s="2" t="s">
        <v>105</v>
      </c>
      <c r="E41" s="2" t="s">
        <v>106</v>
      </c>
      <c r="F41" s="2" t="s">
        <v>62</v>
      </c>
      <c r="G41" s="6">
        <v>1</v>
      </c>
    </row>
    <row r="42" spans="1:7" x14ac:dyDescent="0.25">
      <c r="A42" s="5" t="s">
        <v>107</v>
      </c>
      <c r="B42" s="2" t="s">
        <v>68</v>
      </c>
      <c r="C42" s="2" t="s">
        <v>108</v>
      </c>
      <c r="D42" s="2" t="s">
        <v>109</v>
      </c>
      <c r="E42" s="2" t="s">
        <v>110</v>
      </c>
      <c r="F42" s="2" t="s">
        <v>62</v>
      </c>
      <c r="G42" s="6">
        <v>1</v>
      </c>
    </row>
    <row r="43" spans="1:7" x14ac:dyDescent="0.25">
      <c r="A43" s="5" t="s">
        <v>107</v>
      </c>
      <c r="B43" s="2" t="s">
        <v>68</v>
      </c>
      <c r="C43" s="2" t="s">
        <v>108</v>
      </c>
      <c r="D43" s="2" t="s">
        <v>111</v>
      </c>
      <c r="E43" s="2" t="s">
        <v>110</v>
      </c>
      <c r="F43" s="2" t="s">
        <v>62</v>
      </c>
      <c r="G43" s="6">
        <v>1</v>
      </c>
    </row>
    <row r="44" spans="1:7" x14ac:dyDescent="0.25">
      <c r="A44" s="5" t="s">
        <v>112</v>
      </c>
      <c r="B44" s="2" t="s">
        <v>68</v>
      </c>
      <c r="C44" s="2" t="s">
        <v>113</v>
      </c>
      <c r="D44" s="2" t="s">
        <v>114</v>
      </c>
      <c r="E44" s="2" t="s">
        <v>115</v>
      </c>
      <c r="F44" s="2" t="s">
        <v>62</v>
      </c>
      <c r="G44" s="6">
        <v>1</v>
      </c>
    </row>
    <row r="45" spans="1:7" x14ac:dyDescent="0.25">
      <c r="A45" s="5" t="s">
        <v>112</v>
      </c>
      <c r="B45" s="2" t="s">
        <v>68</v>
      </c>
      <c r="C45" s="2" t="s">
        <v>113</v>
      </c>
      <c r="D45" s="2" t="s">
        <v>116</v>
      </c>
      <c r="E45" s="2" t="s">
        <v>115</v>
      </c>
      <c r="F45" s="2" t="s">
        <v>62</v>
      </c>
      <c r="G45" s="6">
        <v>1</v>
      </c>
    </row>
    <row r="46" spans="1:7" x14ac:dyDescent="0.25">
      <c r="A46" s="5" t="s">
        <v>117</v>
      </c>
      <c r="B46" s="2" t="s">
        <v>68</v>
      </c>
      <c r="C46" s="2" t="s">
        <v>118</v>
      </c>
      <c r="D46" s="2" t="s">
        <v>119</v>
      </c>
      <c r="E46" s="2" t="s">
        <v>120</v>
      </c>
      <c r="F46" s="2" t="s">
        <v>62</v>
      </c>
      <c r="G46" s="6">
        <v>1</v>
      </c>
    </row>
    <row r="47" spans="1:7" x14ac:dyDescent="0.25">
      <c r="A47" s="5" t="s">
        <v>121</v>
      </c>
      <c r="B47" s="2" t="s">
        <v>68</v>
      </c>
      <c r="C47" s="2" t="s">
        <v>122</v>
      </c>
      <c r="D47" s="2" t="s">
        <v>123</v>
      </c>
      <c r="E47" s="2" t="s">
        <v>124</v>
      </c>
      <c r="F47" s="2" t="s">
        <v>62</v>
      </c>
      <c r="G47" s="6">
        <v>1</v>
      </c>
    </row>
    <row r="48" spans="1:7" x14ac:dyDescent="0.25">
      <c r="A48" s="5" t="s">
        <v>125</v>
      </c>
      <c r="B48" s="2" t="s">
        <v>68</v>
      </c>
      <c r="C48" s="2" t="s">
        <v>126</v>
      </c>
      <c r="D48" s="2" t="s">
        <v>127</v>
      </c>
      <c r="E48" s="2" t="s">
        <v>128</v>
      </c>
      <c r="F48" s="2" t="s">
        <v>62</v>
      </c>
      <c r="G48" s="6">
        <v>1</v>
      </c>
    </row>
    <row r="49" spans="1:7" x14ac:dyDescent="0.25">
      <c r="A49" s="5" t="s">
        <v>129</v>
      </c>
      <c r="B49" s="2" t="s">
        <v>130</v>
      </c>
      <c r="C49" s="2" t="s">
        <v>131</v>
      </c>
      <c r="D49" s="2" t="s">
        <v>132</v>
      </c>
      <c r="E49" s="2" t="s">
        <v>133</v>
      </c>
      <c r="F49" s="2" t="s">
        <v>62</v>
      </c>
      <c r="G49" s="6">
        <v>1</v>
      </c>
    </row>
    <row r="50" spans="1:7" x14ac:dyDescent="0.25">
      <c r="A50" s="5" t="s">
        <v>134</v>
      </c>
      <c r="B50" s="2" t="s">
        <v>34</v>
      </c>
      <c r="C50" s="2" t="s">
        <v>135</v>
      </c>
      <c r="D50" s="2" t="s">
        <v>136</v>
      </c>
      <c r="E50" s="2" t="s">
        <v>137</v>
      </c>
      <c r="F50" s="2" t="s">
        <v>62</v>
      </c>
      <c r="G50" s="6">
        <v>1</v>
      </c>
    </row>
    <row r="51" spans="1:7" x14ac:dyDescent="0.25">
      <c r="A51" s="5" t="s">
        <v>138</v>
      </c>
      <c r="B51" s="2" t="s">
        <v>34</v>
      </c>
      <c r="C51" s="2" t="s">
        <v>139</v>
      </c>
      <c r="D51" s="2" t="s">
        <v>140</v>
      </c>
      <c r="E51" s="2" t="s">
        <v>141</v>
      </c>
      <c r="F51" s="2" t="s">
        <v>62</v>
      </c>
      <c r="G51" s="6">
        <v>1</v>
      </c>
    </row>
    <row r="52" spans="1:7" x14ac:dyDescent="0.25">
      <c r="A52" s="5" t="s">
        <v>138</v>
      </c>
      <c r="B52" s="2" t="s">
        <v>34</v>
      </c>
      <c r="C52" s="2" t="s">
        <v>139</v>
      </c>
      <c r="D52" s="2" t="s">
        <v>142</v>
      </c>
      <c r="E52" s="2" t="s">
        <v>141</v>
      </c>
      <c r="F52" s="2" t="s">
        <v>62</v>
      </c>
      <c r="G52" s="6">
        <v>1</v>
      </c>
    </row>
    <row r="53" spans="1:7" x14ac:dyDescent="0.25">
      <c r="A53" s="5" t="s">
        <v>143</v>
      </c>
      <c r="B53" s="2" t="s">
        <v>34</v>
      </c>
      <c r="C53" s="2" t="s">
        <v>144</v>
      </c>
      <c r="D53" s="2" t="s">
        <v>145</v>
      </c>
      <c r="E53" s="2" t="s">
        <v>146</v>
      </c>
      <c r="F53" s="2" t="s">
        <v>62</v>
      </c>
      <c r="G53" s="6">
        <v>1</v>
      </c>
    </row>
    <row r="54" spans="1:7" x14ac:dyDescent="0.25">
      <c r="A54" s="5" t="s">
        <v>147</v>
      </c>
      <c r="B54" s="2" t="s">
        <v>34</v>
      </c>
      <c r="C54" s="2" t="s">
        <v>148</v>
      </c>
      <c r="D54" s="2" t="s">
        <v>149</v>
      </c>
      <c r="E54" s="2" t="s">
        <v>150</v>
      </c>
      <c r="F54" s="2" t="s">
        <v>62</v>
      </c>
      <c r="G54" s="6">
        <v>1</v>
      </c>
    </row>
    <row r="55" spans="1:7" x14ac:dyDescent="0.25">
      <c r="A55" s="5" t="s">
        <v>151</v>
      </c>
      <c r="B55" s="2" t="s">
        <v>34</v>
      </c>
      <c r="C55" s="2" t="s">
        <v>152</v>
      </c>
      <c r="D55" s="2" t="s">
        <v>153</v>
      </c>
      <c r="E55" s="2" t="s">
        <v>154</v>
      </c>
      <c r="F55" s="2" t="s">
        <v>62</v>
      </c>
      <c r="G55" s="6">
        <v>1</v>
      </c>
    </row>
    <row r="56" spans="1:7" x14ac:dyDescent="0.25">
      <c r="A56" s="5" t="s">
        <v>155</v>
      </c>
      <c r="B56" s="2" t="s">
        <v>155</v>
      </c>
      <c r="C56" s="2" t="s">
        <v>156</v>
      </c>
      <c r="D56" s="2" t="s">
        <v>157</v>
      </c>
      <c r="E56" s="2" t="s">
        <v>158</v>
      </c>
      <c r="F56" s="2" t="s">
        <v>62</v>
      </c>
      <c r="G56" s="6">
        <v>1</v>
      </c>
    </row>
    <row r="57" spans="1:7" x14ac:dyDescent="0.25">
      <c r="A57" s="5" t="s">
        <v>159</v>
      </c>
      <c r="B57" s="2" t="s">
        <v>159</v>
      </c>
      <c r="C57" s="2" t="s">
        <v>160</v>
      </c>
      <c r="D57" s="2" t="s">
        <v>161</v>
      </c>
      <c r="E57" s="2" t="s">
        <v>162</v>
      </c>
      <c r="F57" s="2" t="s">
        <v>62</v>
      </c>
      <c r="G57" s="6">
        <v>1</v>
      </c>
    </row>
    <row r="58" spans="1:7" x14ac:dyDescent="0.25">
      <c r="A58" s="5" t="s">
        <v>163</v>
      </c>
      <c r="B58" s="2" t="s">
        <v>163</v>
      </c>
      <c r="C58" s="2" t="s">
        <v>164</v>
      </c>
      <c r="D58" s="2" t="s">
        <v>165</v>
      </c>
      <c r="E58" s="2" t="s">
        <v>166</v>
      </c>
      <c r="F58" s="2" t="s">
        <v>62</v>
      </c>
      <c r="G58" s="6">
        <v>1</v>
      </c>
    </row>
    <row r="59" spans="1:7" x14ac:dyDescent="0.25">
      <c r="A59" s="5" t="s">
        <v>167</v>
      </c>
      <c r="B59" s="2" t="s">
        <v>168</v>
      </c>
      <c r="C59" s="2" t="s">
        <v>169</v>
      </c>
      <c r="D59" s="2" t="s">
        <v>170</v>
      </c>
      <c r="E59" s="2" t="s">
        <v>171</v>
      </c>
      <c r="F59" s="2" t="s">
        <v>62</v>
      </c>
      <c r="G59" s="6">
        <v>1</v>
      </c>
    </row>
    <row r="60" spans="1:7" ht="120" x14ac:dyDescent="0.25">
      <c r="A60" s="5" t="s">
        <v>172</v>
      </c>
      <c r="B60" s="2" t="s">
        <v>172</v>
      </c>
      <c r="C60" s="3" t="s">
        <v>173</v>
      </c>
      <c r="D60" s="2" t="s">
        <v>174</v>
      </c>
      <c r="E60" s="2" t="s">
        <v>175</v>
      </c>
      <c r="F60" s="2" t="s">
        <v>62</v>
      </c>
      <c r="G60" s="6">
        <v>1</v>
      </c>
    </row>
    <row r="61" spans="1:7" x14ac:dyDescent="0.25">
      <c r="A61" s="5" t="s">
        <v>176</v>
      </c>
      <c r="B61" s="2" t="s">
        <v>177</v>
      </c>
      <c r="C61" s="2" t="s">
        <v>178</v>
      </c>
      <c r="D61" s="2" t="s">
        <v>179</v>
      </c>
      <c r="E61" s="2" t="s">
        <v>180</v>
      </c>
      <c r="F61" s="2" t="s">
        <v>62</v>
      </c>
      <c r="G61" s="6">
        <v>1</v>
      </c>
    </row>
    <row r="62" spans="1:7" x14ac:dyDescent="0.25">
      <c r="A62" s="5" t="s">
        <v>181</v>
      </c>
      <c r="B62" s="2" t="s">
        <v>182</v>
      </c>
      <c r="C62" s="2" t="s">
        <v>183</v>
      </c>
      <c r="D62" s="2" t="s">
        <v>184</v>
      </c>
      <c r="E62" s="2" t="s">
        <v>185</v>
      </c>
      <c r="F62" s="2" t="s">
        <v>62</v>
      </c>
      <c r="G62" s="6">
        <v>1</v>
      </c>
    </row>
    <row r="63" spans="1:7" x14ac:dyDescent="0.25">
      <c r="A63" s="5" t="s">
        <v>181</v>
      </c>
      <c r="B63" s="2" t="s">
        <v>182</v>
      </c>
      <c r="C63" s="2" t="s">
        <v>183</v>
      </c>
      <c r="D63" s="2" t="s">
        <v>186</v>
      </c>
      <c r="E63" s="2" t="s">
        <v>185</v>
      </c>
      <c r="F63" s="2" t="s">
        <v>62</v>
      </c>
      <c r="G63" s="6">
        <v>1</v>
      </c>
    </row>
    <row r="64" spans="1:7" x14ac:dyDescent="0.25">
      <c r="A64" s="5" t="s">
        <v>181</v>
      </c>
      <c r="B64" s="2" t="s">
        <v>182</v>
      </c>
      <c r="C64" s="2" t="s">
        <v>183</v>
      </c>
      <c r="D64" s="2" t="s">
        <v>187</v>
      </c>
      <c r="E64" s="2" t="s">
        <v>185</v>
      </c>
      <c r="F64" s="2" t="s">
        <v>62</v>
      </c>
      <c r="G64" s="6">
        <v>1</v>
      </c>
    </row>
    <row r="65" spans="1:7" x14ac:dyDescent="0.25">
      <c r="A65" s="5" t="s">
        <v>181</v>
      </c>
      <c r="B65" s="2" t="s">
        <v>182</v>
      </c>
      <c r="C65" s="2" t="s">
        <v>183</v>
      </c>
      <c r="D65" s="2" t="s">
        <v>188</v>
      </c>
      <c r="E65" s="2" t="s">
        <v>185</v>
      </c>
      <c r="F65" s="2" t="s">
        <v>62</v>
      </c>
      <c r="G65" s="6">
        <v>1</v>
      </c>
    </row>
    <row r="66" spans="1:7" x14ac:dyDescent="0.25">
      <c r="A66" s="5" t="s">
        <v>189</v>
      </c>
      <c r="B66" s="2" t="s">
        <v>190</v>
      </c>
      <c r="C66" s="2" t="s">
        <v>191</v>
      </c>
      <c r="D66" s="2" t="s">
        <v>192</v>
      </c>
      <c r="E66" s="2" t="s">
        <v>193</v>
      </c>
      <c r="F66" s="2" t="s">
        <v>62</v>
      </c>
      <c r="G66" s="6">
        <v>1</v>
      </c>
    </row>
    <row r="67" spans="1:7" x14ac:dyDescent="0.25">
      <c r="A67" s="5" t="s">
        <v>189</v>
      </c>
      <c r="B67" s="2" t="s">
        <v>190</v>
      </c>
      <c r="C67" s="2" t="s">
        <v>191</v>
      </c>
      <c r="D67" s="2" t="s">
        <v>194</v>
      </c>
      <c r="E67" s="2" t="s">
        <v>193</v>
      </c>
      <c r="F67" s="2" t="s">
        <v>62</v>
      </c>
      <c r="G67" s="6">
        <v>1</v>
      </c>
    </row>
    <row r="68" spans="1:7" x14ac:dyDescent="0.25">
      <c r="A68" s="5" t="s">
        <v>195</v>
      </c>
      <c r="B68" s="2" t="s">
        <v>196</v>
      </c>
      <c r="C68" s="2" t="s">
        <v>197</v>
      </c>
      <c r="D68" s="2" t="s">
        <v>198</v>
      </c>
      <c r="E68" s="2" t="s">
        <v>199</v>
      </c>
      <c r="F68" s="2" t="s">
        <v>62</v>
      </c>
      <c r="G68" s="6">
        <v>1</v>
      </c>
    </row>
    <row r="69" spans="1:7" x14ac:dyDescent="0.25">
      <c r="A69" s="5" t="s">
        <v>195</v>
      </c>
      <c r="B69" s="2" t="s">
        <v>196</v>
      </c>
      <c r="C69" s="2" t="s">
        <v>197</v>
      </c>
      <c r="D69" s="2" t="s">
        <v>200</v>
      </c>
      <c r="E69" s="2" t="s">
        <v>199</v>
      </c>
      <c r="F69" s="2" t="s">
        <v>62</v>
      </c>
      <c r="G69" s="6">
        <v>1</v>
      </c>
    </row>
    <row r="70" spans="1:7" x14ac:dyDescent="0.25">
      <c r="A70" s="5" t="s">
        <v>195</v>
      </c>
      <c r="B70" s="2" t="s">
        <v>196</v>
      </c>
      <c r="C70" s="2" t="s">
        <v>197</v>
      </c>
      <c r="D70" s="2" t="s">
        <v>201</v>
      </c>
      <c r="E70" s="2" t="s">
        <v>199</v>
      </c>
      <c r="F70" s="2" t="s">
        <v>62</v>
      </c>
      <c r="G70" s="6">
        <v>1</v>
      </c>
    </row>
    <row r="71" spans="1:7" x14ac:dyDescent="0.25">
      <c r="A71" s="5" t="s">
        <v>202</v>
      </c>
      <c r="B71" s="2" t="s">
        <v>196</v>
      </c>
      <c r="C71" s="2" t="s">
        <v>203</v>
      </c>
      <c r="D71" s="2" t="s">
        <v>204</v>
      </c>
      <c r="E71" s="2" t="s">
        <v>205</v>
      </c>
      <c r="F71" s="2" t="s">
        <v>62</v>
      </c>
      <c r="G71" s="6">
        <v>1</v>
      </c>
    </row>
    <row r="72" spans="1:7" x14ac:dyDescent="0.25">
      <c r="A72" s="5" t="s">
        <v>202</v>
      </c>
      <c r="B72" s="2" t="s">
        <v>196</v>
      </c>
      <c r="C72" s="2" t="s">
        <v>203</v>
      </c>
      <c r="D72" s="2" t="s">
        <v>206</v>
      </c>
      <c r="E72" s="2" t="s">
        <v>205</v>
      </c>
      <c r="F72" s="2" t="s">
        <v>62</v>
      </c>
      <c r="G72" s="6">
        <v>1</v>
      </c>
    </row>
    <row r="73" spans="1:7" x14ac:dyDescent="0.25">
      <c r="A73" s="5" t="s">
        <v>202</v>
      </c>
      <c r="B73" s="2" t="s">
        <v>196</v>
      </c>
      <c r="C73" s="2" t="s">
        <v>203</v>
      </c>
      <c r="D73" s="2" t="s">
        <v>207</v>
      </c>
      <c r="E73" s="2" t="s">
        <v>205</v>
      </c>
      <c r="F73" s="2" t="s">
        <v>62</v>
      </c>
      <c r="G73" s="6">
        <v>1</v>
      </c>
    </row>
    <row r="74" spans="1:7" x14ac:dyDescent="0.25">
      <c r="A74" s="5" t="s">
        <v>202</v>
      </c>
      <c r="B74" s="2" t="s">
        <v>196</v>
      </c>
      <c r="C74" s="2" t="s">
        <v>203</v>
      </c>
      <c r="D74" s="2" t="s">
        <v>208</v>
      </c>
      <c r="E74" s="2" t="s">
        <v>205</v>
      </c>
      <c r="F74" s="2" t="s">
        <v>62</v>
      </c>
      <c r="G74" s="6">
        <v>1</v>
      </c>
    </row>
    <row r="75" spans="1:7" x14ac:dyDescent="0.25">
      <c r="A75" s="5" t="s">
        <v>202</v>
      </c>
      <c r="B75" s="2" t="s">
        <v>196</v>
      </c>
      <c r="C75" s="2" t="s">
        <v>203</v>
      </c>
      <c r="D75" s="2" t="s">
        <v>209</v>
      </c>
      <c r="E75" s="2" t="s">
        <v>205</v>
      </c>
      <c r="F75" s="2" t="s">
        <v>62</v>
      </c>
      <c r="G75" s="6">
        <v>1</v>
      </c>
    </row>
    <row r="76" spans="1:7" x14ac:dyDescent="0.25">
      <c r="A76" s="5" t="s">
        <v>202</v>
      </c>
      <c r="B76" s="2" t="s">
        <v>196</v>
      </c>
      <c r="C76" s="2" t="s">
        <v>203</v>
      </c>
      <c r="D76" s="2" t="s">
        <v>210</v>
      </c>
      <c r="E76" s="2" t="s">
        <v>205</v>
      </c>
      <c r="F76" s="2" t="s">
        <v>62</v>
      </c>
      <c r="G76" s="6">
        <v>1</v>
      </c>
    </row>
    <row r="77" spans="1:7" x14ac:dyDescent="0.25">
      <c r="A77" s="5" t="s">
        <v>202</v>
      </c>
      <c r="B77" s="2" t="s">
        <v>196</v>
      </c>
      <c r="C77" s="2" t="s">
        <v>203</v>
      </c>
      <c r="D77" s="2" t="s">
        <v>211</v>
      </c>
      <c r="E77" s="2" t="s">
        <v>205</v>
      </c>
      <c r="F77" s="2" t="s">
        <v>62</v>
      </c>
      <c r="G77" s="6">
        <v>1</v>
      </c>
    </row>
    <row r="78" spans="1:7" x14ac:dyDescent="0.25">
      <c r="A78" s="5" t="s">
        <v>212</v>
      </c>
      <c r="B78" s="2" t="s">
        <v>196</v>
      </c>
      <c r="C78" s="2" t="s">
        <v>213</v>
      </c>
      <c r="D78" s="2" t="s">
        <v>214</v>
      </c>
      <c r="E78" s="2" t="s">
        <v>215</v>
      </c>
      <c r="F78" s="2" t="s">
        <v>62</v>
      </c>
      <c r="G78" s="6">
        <v>1</v>
      </c>
    </row>
    <row r="79" spans="1:7" x14ac:dyDescent="0.25">
      <c r="A79" s="5" t="s">
        <v>216</v>
      </c>
      <c r="B79" s="2" t="s">
        <v>196</v>
      </c>
      <c r="C79" s="2" t="s">
        <v>217</v>
      </c>
      <c r="D79" s="2" t="s">
        <v>218</v>
      </c>
      <c r="E79" s="2" t="s">
        <v>219</v>
      </c>
      <c r="F79" s="2" t="s">
        <v>62</v>
      </c>
      <c r="G79" s="6">
        <v>1</v>
      </c>
    </row>
    <row r="80" spans="1:7" x14ac:dyDescent="0.25">
      <c r="A80" s="5" t="s">
        <v>216</v>
      </c>
      <c r="B80" s="2" t="s">
        <v>196</v>
      </c>
      <c r="C80" s="2" t="s">
        <v>217</v>
      </c>
      <c r="D80" s="2" t="s">
        <v>220</v>
      </c>
      <c r="E80" s="2" t="s">
        <v>219</v>
      </c>
      <c r="F80" s="2" t="s">
        <v>62</v>
      </c>
      <c r="G80" s="6">
        <v>1</v>
      </c>
    </row>
    <row r="81" spans="1:7" x14ac:dyDescent="0.25">
      <c r="A81" s="5" t="s">
        <v>221</v>
      </c>
      <c r="B81" s="2" t="s">
        <v>130</v>
      </c>
      <c r="C81" s="2" t="s">
        <v>222</v>
      </c>
      <c r="D81" s="2" t="s">
        <v>223</v>
      </c>
      <c r="E81" s="2" t="s">
        <v>224</v>
      </c>
      <c r="F81" s="2" t="s">
        <v>62</v>
      </c>
      <c r="G81" s="6">
        <v>1</v>
      </c>
    </row>
    <row r="82" spans="1:7" x14ac:dyDescent="0.25">
      <c r="A82" s="5" t="s">
        <v>225</v>
      </c>
      <c r="B82" s="2" t="s">
        <v>130</v>
      </c>
      <c r="C82" s="2" t="s">
        <v>226</v>
      </c>
      <c r="D82" s="2" t="s">
        <v>227</v>
      </c>
      <c r="E82" s="2" t="s">
        <v>228</v>
      </c>
      <c r="F82" s="2" t="s">
        <v>62</v>
      </c>
      <c r="G82" s="6">
        <v>1</v>
      </c>
    </row>
    <row r="83" spans="1:7" x14ac:dyDescent="0.25">
      <c r="A83" s="5" t="s">
        <v>229</v>
      </c>
      <c r="B83" s="2" t="s">
        <v>230</v>
      </c>
      <c r="C83" s="2" t="s">
        <v>231</v>
      </c>
      <c r="D83" s="2" t="s">
        <v>232</v>
      </c>
      <c r="E83" s="2" t="s">
        <v>233</v>
      </c>
      <c r="F83" s="2" t="s">
        <v>62</v>
      </c>
      <c r="G83" s="6">
        <v>1</v>
      </c>
    </row>
    <row r="84" spans="1:7" x14ac:dyDescent="0.25">
      <c r="A84" s="5" t="s">
        <v>229</v>
      </c>
      <c r="B84" s="2" t="s">
        <v>230</v>
      </c>
      <c r="C84" s="2" t="s">
        <v>231</v>
      </c>
      <c r="D84" s="2" t="s">
        <v>234</v>
      </c>
      <c r="E84" s="2" t="s">
        <v>233</v>
      </c>
      <c r="F84" s="2" t="s">
        <v>62</v>
      </c>
      <c r="G84" s="6">
        <v>1</v>
      </c>
    </row>
    <row r="85" spans="1:7" x14ac:dyDescent="0.25">
      <c r="A85" s="5" t="s">
        <v>229</v>
      </c>
      <c r="B85" s="2" t="s">
        <v>230</v>
      </c>
      <c r="C85" s="2" t="s">
        <v>231</v>
      </c>
      <c r="D85" s="2" t="s">
        <v>235</v>
      </c>
      <c r="E85" s="2" t="s">
        <v>233</v>
      </c>
      <c r="F85" s="2" t="s">
        <v>62</v>
      </c>
      <c r="G85" s="6">
        <v>1</v>
      </c>
    </row>
    <row r="86" spans="1:7" x14ac:dyDescent="0.25">
      <c r="A86" s="5" t="s">
        <v>229</v>
      </c>
      <c r="B86" s="2" t="s">
        <v>230</v>
      </c>
      <c r="C86" s="2" t="s">
        <v>231</v>
      </c>
      <c r="D86" s="2" t="s">
        <v>236</v>
      </c>
      <c r="E86" s="2" t="s">
        <v>233</v>
      </c>
      <c r="F86" s="2" t="s">
        <v>62</v>
      </c>
      <c r="G86" s="6">
        <v>1</v>
      </c>
    </row>
    <row r="87" spans="1:7" x14ac:dyDescent="0.25">
      <c r="A87" s="5" t="s">
        <v>229</v>
      </c>
      <c r="B87" s="2" t="s">
        <v>230</v>
      </c>
      <c r="C87" s="2" t="s">
        <v>231</v>
      </c>
      <c r="D87" s="2" t="s">
        <v>237</v>
      </c>
      <c r="E87" s="2" t="s">
        <v>233</v>
      </c>
      <c r="F87" s="2" t="s">
        <v>62</v>
      </c>
      <c r="G87" s="6">
        <v>1</v>
      </c>
    </row>
    <row r="88" spans="1:7" x14ac:dyDescent="0.25">
      <c r="A88" s="5" t="s">
        <v>229</v>
      </c>
      <c r="B88" s="2" t="s">
        <v>230</v>
      </c>
      <c r="C88" s="2" t="s">
        <v>231</v>
      </c>
      <c r="D88" s="2" t="s">
        <v>238</v>
      </c>
      <c r="E88" s="2" t="s">
        <v>233</v>
      </c>
      <c r="F88" s="2" t="s">
        <v>62</v>
      </c>
      <c r="G88" s="6">
        <v>1</v>
      </c>
    </row>
    <row r="89" spans="1:7" x14ac:dyDescent="0.25">
      <c r="A89" s="5" t="s">
        <v>229</v>
      </c>
      <c r="B89" s="2" t="s">
        <v>230</v>
      </c>
      <c r="C89" s="2" t="s">
        <v>231</v>
      </c>
      <c r="D89" s="2" t="s">
        <v>239</v>
      </c>
      <c r="E89" s="2" t="s">
        <v>233</v>
      </c>
      <c r="F89" s="2" t="s">
        <v>62</v>
      </c>
      <c r="G89" s="6">
        <v>1</v>
      </c>
    </row>
    <row r="90" spans="1:7" x14ac:dyDescent="0.25">
      <c r="A90" s="5" t="s">
        <v>229</v>
      </c>
      <c r="B90" s="2" t="s">
        <v>230</v>
      </c>
      <c r="C90" s="2" t="s">
        <v>231</v>
      </c>
      <c r="D90" s="2" t="s">
        <v>240</v>
      </c>
      <c r="E90" s="2" t="s">
        <v>233</v>
      </c>
      <c r="F90" s="2" t="s">
        <v>62</v>
      </c>
      <c r="G90" s="6">
        <v>1</v>
      </c>
    </row>
    <row r="91" spans="1:7" x14ac:dyDescent="0.25">
      <c r="A91" s="5" t="s">
        <v>229</v>
      </c>
      <c r="B91" s="2" t="s">
        <v>230</v>
      </c>
      <c r="C91" s="2" t="s">
        <v>231</v>
      </c>
      <c r="D91" s="2" t="s">
        <v>241</v>
      </c>
      <c r="E91" s="2" t="s">
        <v>233</v>
      </c>
      <c r="F91" s="2" t="s">
        <v>62</v>
      </c>
      <c r="G91" s="6">
        <v>1</v>
      </c>
    </row>
    <row r="92" spans="1:7" x14ac:dyDescent="0.25">
      <c r="A92" s="5" t="s">
        <v>229</v>
      </c>
      <c r="B92" s="2" t="s">
        <v>230</v>
      </c>
      <c r="C92" s="2" t="s">
        <v>231</v>
      </c>
      <c r="D92" s="2" t="s">
        <v>242</v>
      </c>
      <c r="E92" s="2" t="s">
        <v>233</v>
      </c>
      <c r="F92" s="2" t="s">
        <v>62</v>
      </c>
      <c r="G92" s="6">
        <v>1</v>
      </c>
    </row>
    <row r="93" spans="1:7" x14ac:dyDescent="0.25">
      <c r="A93" s="5" t="s">
        <v>229</v>
      </c>
      <c r="B93" s="2" t="s">
        <v>230</v>
      </c>
      <c r="C93" s="2" t="s">
        <v>231</v>
      </c>
      <c r="D93" s="2" t="s">
        <v>243</v>
      </c>
      <c r="E93" s="2" t="s">
        <v>233</v>
      </c>
      <c r="F93" s="2" t="s">
        <v>62</v>
      </c>
      <c r="G93" s="6">
        <v>1</v>
      </c>
    </row>
    <row r="94" spans="1:7" x14ac:dyDescent="0.25">
      <c r="A94" s="5" t="s">
        <v>229</v>
      </c>
      <c r="B94" s="2" t="s">
        <v>230</v>
      </c>
      <c r="C94" s="2" t="s">
        <v>231</v>
      </c>
      <c r="D94" s="2" t="s">
        <v>244</v>
      </c>
      <c r="E94" s="2" t="s">
        <v>233</v>
      </c>
      <c r="F94" s="2" t="s">
        <v>62</v>
      </c>
      <c r="G94" s="6">
        <v>1</v>
      </c>
    </row>
    <row r="95" spans="1:7" x14ac:dyDescent="0.25">
      <c r="A95" s="5" t="s">
        <v>229</v>
      </c>
      <c r="B95" s="2" t="s">
        <v>230</v>
      </c>
      <c r="C95" s="2" t="s">
        <v>231</v>
      </c>
      <c r="D95" s="2" t="s">
        <v>245</v>
      </c>
      <c r="E95" s="2" t="s">
        <v>233</v>
      </c>
      <c r="F95" s="2" t="s">
        <v>62</v>
      </c>
      <c r="G95" s="6">
        <v>1</v>
      </c>
    </row>
    <row r="96" spans="1:7" x14ac:dyDescent="0.25">
      <c r="A96" s="5" t="s">
        <v>246</v>
      </c>
      <c r="B96" s="2" t="s">
        <v>247</v>
      </c>
      <c r="C96" s="2" t="s">
        <v>248</v>
      </c>
      <c r="D96" s="2" t="s">
        <v>249</v>
      </c>
      <c r="E96" s="2" t="s">
        <v>250</v>
      </c>
      <c r="F96" s="2" t="s">
        <v>62</v>
      </c>
      <c r="G96" s="6">
        <v>1</v>
      </c>
    </row>
    <row r="97" spans="1:7" x14ac:dyDescent="0.25">
      <c r="A97" s="5" t="s">
        <v>251</v>
      </c>
      <c r="B97" s="2" t="s">
        <v>34</v>
      </c>
      <c r="C97" s="2" t="s">
        <v>252</v>
      </c>
      <c r="D97" s="2" t="s">
        <v>253</v>
      </c>
      <c r="E97" s="2" t="s">
        <v>254</v>
      </c>
      <c r="F97" s="2" t="s">
        <v>62</v>
      </c>
      <c r="G97" s="6">
        <v>1</v>
      </c>
    </row>
    <row r="98" spans="1:7" x14ac:dyDescent="0.25">
      <c r="A98" s="5" t="s">
        <v>255</v>
      </c>
      <c r="B98" s="2" t="s">
        <v>256</v>
      </c>
      <c r="C98" s="2" t="s">
        <v>257</v>
      </c>
      <c r="D98" s="2" t="s">
        <v>258</v>
      </c>
      <c r="E98" s="2" t="s">
        <v>259</v>
      </c>
      <c r="F98" s="2" t="s">
        <v>62</v>
      </c>
      <c r="G98" s="6">
        <v>1</v>
      </c>
    </row>
    <row r="99" spans="1:7" x14ac:dyDescent="0.25">
      <c r="A99" s="10" t="s">
        <v>260</v>
      </c>
      <c r="B99" s="11" t="s">
        <v>130</v>
      </c>
      <c r="C99" s="11" t="s">
        <v>261</v>
      </c>
      <c r="D99" s="11" t="s">
        <v>262</v>
      </c>
      <c r="E99" s="11" t="s">
        <v>263</v>
      </c>
      <c r="F99" s="11" t="s">
        <v>62</v>
      </c>
      <c r="G99" s="12">
        <v>1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45AE-4D54-4971-95A2-8170D2AFA7D6}">
  <dimension ref="A1:D82"/>
  <sheetViews>
    <sheetView tabSelected="1" topLeftCell="A57" workbookViewId="0">
      <selection activeCell="I81" sqref="I81"/>
    </sheetView>
  </sheetViews>
  <sheetFormatPr defaultRowHeight="15" x14ac:dyDescent="0.25"/>
  <cols>
    <col min="1" max="1" width="18.28515625" customWidth="1"/>
    <col min="2" max="2" width="11.28515625" customWidth="1"/>
    <col min="3" max="4" width="13.28515625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264</v>
      </c>
    </row>
    <row r="2" spans="1:4" x14ac:dyDescent="0.25">
      <c r="A2" t="str" cm="1">
        <f t="array" ref="A2:D82">_xlfn.CHOOSECOLS(
    _xlfn._xlws.FILTER(Table1[], Table1[Distributor]="JLCPCB"),
    _xlfn.XMATCH({"Comment","Designator","Footprint","Distributor Part Number"}, Table1[#Headers])
)</f>
        <v>0402B104K250NT</v>
      </c>
      <c r="B2" t="str">
        <v>C9</v>
      </c>
      <c r="C2" t="str">
        <v>CAPC0402X020</v>
      </c>
      <c r="D2" t="str">
        <v>C56392</v>
      </c>
    </row>
    <row r="3" spans="1:4" x14ac:dyDescent="0.25">
      <c r="A3" t="str">
        <v>0402B104K250NT</v>
      </c>
      <c r="B3" t="str">
        <v>C19</v>
      </c>
      <c r="C3" t="str">
        <v>CAPC0402X020</v>
      </c>
      <c r="D3" t="str">
        <v>C56392</v>
      </c>
    </row>
    <row r="4" spans="1:4" x14ac:dyDescent="0.25">
      <c r="A4" t="str">
        <v>0402B104K250NT</v>
      </c>
      <c r="B4" t="str">
        <v>C20</v>
      </c>
      <c r="C4" t="str">
        <v>CAPC0402X020</v>
      </c>
      <c r="D4" t="str">
        <v>C56392</v>
      </c>
    </row>
    <row r="5" spans="1:4" x14ac:dyDescent="0.25">
      <c r="A5" t="str">
        <v>0402B104K250NT</v>
      </c>
      <c r="B5" t="str">
        <v>C26</v>
      </c>
      <c r="C5" t="str">
        <v>CAPC0402X020</v>
      </c>
      <c r="D5" t="str">
        <v>C56392</v>
      </c>
    </row>
    <row r="6" spans="1:4" x14ac:dyDescent="0.25">
      <c r="A6" t="str">
        <v>0402B104K250NT</v>
      </c>
      <c r="B6" t="str">
        <v>C27</v>
      </c>
      <c r="C6" t="str">
        <v>CAPC0402X020</v>
      </c>
      <c r="D6" t="str">
        <v>C56392</v>
      </c>
    </row>
    <row r="7" spans="1:4" x14ac:dyDescent="0.25">
      <c r="A7" t="str">
        <v>0603WAF200KT5E</v>
      </c>
      <c r="B7" t="str">
        <v>R6</v>
      </c>
      <c r="C7" t="str">
        <v>RESC0603</v>
      </c>
      <c r="D7" t="str">
        <v>C22977</v>
      </c>
    </row>
    <row r="8" spans="1:4" x14ac:dyDescent="0.25">
      <c r="A8" t="str">
        <v>0603WAF560JT5E</v>
      </c>
      <c r="B8" t="str">
        <v>R2</v>
      </c>
      <c r="C8" t="str">
        <v>RESC0603</v>
      </c>
      <c r="D8" t="str">
        <v>C25196</v>
      </c>
    </row>
    <row r="9" spans="1:4" x14ac:dyDescent="0.25">
      <c r="A9" t="str">
        <v>0603WAF560JT5E</v>
      </c>
      <c r="B9" t="str">
        <v>R15</v>
      </c>
      <c r="C9" t="str">
        <v>RESC0603</v>
      </c>
      <c r="D9" t="str">
        <v>C25196</v>
      </c>
    </row>
    <row r="10" spans="1:4" x14ac:dyDescent="0.25">
      <c r="A10" t="str">
        <v>0603WAF560JT5E</v>
      </c>
      <c r="B10" t="str">
        <v>R16</v>
      </c>
      <c r="C10" t="str">
        <v>RESC0603</v>
      </c>
      <c r="D10" t="str">
        <v>C25196</v>
      </c>
    </row>
    <row r="11" spans="1:4" x14ac:dyDescent="0.25">
      <c r="A11" t="str">
        <v>0603WAF560JT5E</v>
      </c>
      <c r="B11" t="str">
        <v>R17</v>
      </c>
      <c r="C11" t="str">
        <v>RESC0603</v>
      </c>
      <c r="D11" t="str">
        <v>C25196</v>
      </c>
    </row>
    <row r="12" spans="1:4" x14ac:dyDescent="0.25">
      <c r="A12" t="str">
        <v>0603WAF560JT5E</v>
      </c>
      <c r="B12" t="str">
        <v>R18</v>
      </c>
      <c r="C12" t="str">
        <v>RESC0603</v>
      </c>
      <c r="D12" t="str">
        <v>C25196</v>
      </c>
    </row>
    <row r="13" spans="1:4" x14ac:dyDescent="0.25">
      <c r="A13" t="str">
        <v>0603WAF1000T5E</v>
      </c>
      <c r="B13" t="str">
        <v>R19</v>
      </c>
      <c r="C13" t="str">
        <v>RESC0603</v>
      </c>
      <c r="D13" t="str">
        <v>C22775</v>
      </c>
    </row>
    <row r="14" spans="1:4" x14ac:dyDescent="0.25">
      <c r="A14" t="str">
        <v>0603WAF1000T5E</v>
      </c>
      <c r="B14" t="str">
        <v>R21</v>
      </c>
      <c r="C14" t="str">
        <v>RESC0603</v>
      </c>
      <c r="D14" t="str">
        <v>C22775</v>
      </c>
    </row>
    <row r="15" spans="1:4" x14ac:dyDescent="0.25">
      <c r="A15" t="str">
        <v>0603WAF1001T5E</v>
      </c>
      <c r="B15" t="str">
        <v>R1</v>
      </c>
      <c r="C15" t="str">
        <v>RESC0603</v>
      </c>
      <c r="D15" t="str">
        <v>C21190</v>
      </c>
    </row>
    <row r="16" spans="1:4" x14ac:dyDescent="0.25">
      <c r="A16" t="str">
        <v>0603WAF1001T5E</v>
      </c>
      <c r="B16" t="str">
        <v>R14</v>
      </c>
      <c r="C16" t="str">
        <v>RESC0603</v>
      </c>
      <c r="D16" t="str">
        <v>C21190</v>
      </c>
    </row>
    <row r="17" spans="1:4" x14ac:dyDescent="0.25">
      <c r="A17" t="str">
        <v>0603WAF1001T5E</v>
      </c>
      <c r="B17" t="str">
        <v>R24</v>
      </c>
      <c r="C17" t="str">
        <v>RESC0603</v>
      </c>
      <c r="D17" t="str">
        <v>C21190</v>
      </c>
    </row>
    <row r="18" spans="1:4" x14ac:dyDescent="0.25">
      <c r="A18" t="str">
        <v>0603WAF1004T5E</v>
      </c>
      <c r="B18" t="str">
        <v>R22</v>
      </c>
      <c r="C18" t="str">
        <v>RESC0603</v>
      </c>
      <c r="D18" t="str">
        <v>C22935</v>
      </c>
    </row>
    <row r="19" spans="1:4" x14ac:dyDescent="0.25">
      <c r="A19" t="str">
        <v>0603WAF1004T5E</v>
      </c>
      <c r="B19" t="str">
        <v>R25</v>
      </c>
      <c r="C19" t="str">
        <v>RESC0603</v>
      </c>
      <c r="D19" t="str">
        <v>C22935</v>
      </c>
    </row>
    <row r="20" spans="1:4" x14ac:dyDescent="0.25">
      <c r="A20" t="str">
        <v>0603WAF1004T5E</v>
      </c>
      <c r="B20" t="str">
        <v>R26</v>
      </c>
      <c r="C20" t="str">
        <v>RESC0603</v>
      </c>
      <c r="D20" t="str">
        <v>C22935</v>
      </c>
    </row>
    <row r="21" spans="1:4" x14ac:dyDescent="0.25">
      <c r="A21" t="str">
        <v>0603WAF1004T5E</v>
      </c>
      <c r="B21" t="str">
        <v>R36</v>
      </c>
      <c r="C21" t="str">
        <v>RESC0603</v>
      </c>
      <c r="D21" t="str">
        <v>C22935</v>
      </c>
    </row>
    <row r="22" spans="1:4" x14ac:dyDescent="0.25">
      <c r="A22" t="str">
        <v>0603WAF2201T5E</v>
      </c>
      <c r="B22" t="str">
        <v>R4</v>
      </c>
      <c r="C22" t="str">
        <v>RESC0603</v>
      </c>
      <c r="D22" t="str">
        <v>C4190</v>
      </c>
    </row>
    <row r="23" spans="1:4" x14ac:dyDescent="0.25">
      <c r="A23" t="str">
        <v>0603WAF2201T5E</v>
      </c>
      <c r="B23" t="str">
        <v>R37</v>
      </c>
      <c r="C23" t="str">
        <v>RESC0603</v>
      </c>
      <c r="D23" t="str">
        <v>C4190</v>
      </c>
    </row>
    <row r="24" spans="1:4" x14ac:dyDescent="0.25">
      <c r="A24" t="str">
        <v>0603WAF2702T5E</v>
      </c>
      <c r="B24" t="str">
        <v>R7</v>
      </c>
      <c r="C24" t="str">
        <v>RESC0603</v>
      </c>
      <c r="D24" t="str">
        <v>C22967</v>
      </c>
    </row>
    <row r="25" spans="1:4" x14ac:dyDescent="0.25">
      <c r="A25" t="str">
        <v>0603WAF4701T5E</v>
      </c>
      <c r="B25" t="str">
        <v>R23</v>
      </c>
      <c r="C25" t="str">
        <v>RESC0603</v>
      </c>
      <c r="D25" t="str">
        <v>C23162</v>
      </c>
    </row>
    <row r="26" spans="1:4" x14ac:dyDescent="0.25">
      <c r="A26" t="str">
        <v>0603WAF4701T5E</v>
      </c>
      <c r="B26" t="str">
        <v>R33</v>
      </c>
      <c r="C26" t="str">
        <v>RESC0603</v>
      </c>
      <c r="D26" t="str">
        <v>C23162</v>
      </c>
    </row>
    <row r="27" spans="1:4" x14ac:dyDescent="0.25">
      <c r="A27" t="str">
        <v>0603WAF4702T5E</v>
      </c>
      <c r="B27" t="str">
        <v>R3</v>
      </c>
      <c r="C27" t="str">
        <v>RESC0603</v>
      </c>
      <c r="D27" t="str">
        <v>C25819</v>
      </c>
    </row>
    <row r="28" spans="1:4" x14ac:dyDescent="0.25">
      <c r="A28" t="str">
        <v>0603WAF4702T5E</v>
      </c>
      <c r="B28" t="str">
        <v>R32</v>
      </c>
      <c r="C28" t="str">
        <v>RESC0603</v>
      </c>
      <c r="D28" t="str">
        <v>C25819</v>
      </c>
    </row>
    <row r="29" spans="1:4" x14ac:dyDescent="0.25">
      <c r="A29" t="str">
        <v>0603WAF4703T5E</v>
      </c>
      <c r="B29" t="str">
        <v>R29</v>
      </c>
      <c r="C29" t="str">
        <v>RESC0603</v>
      </c>
      <c r="D29" t="str">
        <v>C23178</v>
      </c>
    </row>
    <row r="30" spans="1:4" x14ac:dyDescent="0.25">
      <c r="A30" t="str">
        <v>0603WAF6043T5E</v>
      </c>
      <c r="B30" t="str">
        <v>R31</v>
      </c>
      <c r="C30" t="str">
        <v>RESC0603</v>
      </c>
      <c r="D30" t="str">
        <v>C23216</v>
      </c>
    </row>
    <row r="31" spans="1:4" x14ac:dyDescent="0.25">
      <c r="A31" t="str">
        <v>0603WAJ0100T5E</v>
      </c>
      <c r="B31" t="str">
        <v>R5</v>
      </c>
      <c r="C31" t="str">
        <v>RESC0603</v>
      </c>
      <c r="D31" t="str">
        <v>C25202</v>
      </c>
    </row>
    <row r="32" spans="1:4" x14ac:dyDescent="0.25">
      <c r="A32" t="str">
        <v>0805B472K500NT</v>
      </c>
      <c r="B32" t="str">
        <v>C2</v>
      </c>
      <c r="C32" t="str">
        <v>CAPC0805X060</v>
      </c>
      <c r="D32" t="str">
        <v>C1744</v>
      </c>
    </row>
    <row r="33" spans="1:4" x14ac:dyDescent="0.25">
      <c r="A33" t="str">
        <v>0805W8F0000T5E</v>
      </c>
      <c r="B33" t="str">
        <v>R8</v>
      </c>
      <c r="C33" t="str">
        <v>RESC0805</v>
      </c>
      <c r="D33" t="str">
        <v>C17477</v>
      </c>
    </row>
    <row r="34" spans="1:4" x14ac:dyDescent="0.25">
      <c r="A34" t="str">
        <v>0805W8F1002T5E</v>
      </c>
      <c r="B34" t="str">
        <v>R27</v>
      </c>
      <c r="C34" t="str">
        <v>RESC0805</v>
      </c>
      <c r="D34" t="str">
        <v>C17414</v>
      </c>
    </row>
    <row r="35" spans="1:4" x14ac:dyDescent="0.25">
      <c r="A35" t="str">
        <v>0805W8F1002T5E</v>
      </c>
      <c r="B35" t="str">
        <v>R30</v>
      </c>
      <c r="C35" t="str">
        <v>RESC0805</v>
      </c>
      <c r="D35" t="str">
        <v>C17414</v>
      </c>
    </row>
    <row r="36" spans="1:4" x14ac:dyDescent="0.25">
      <c r="A36" t="str">
        <v>0805W8F1003T5E</v>
      </c>
      <c r="B36" t="str">
        <v>R35</v>
      </c>
      <c r="C36" t="str">
        <v>RESC0805</v>
      </c>
      <c r="D36" t="str">
        <v>C149504</v>
      </c>
    </row>
    <row r="37" spans="1:4" x14ac:dyDescent="0.25">
      <c r="A37" t="str">
        <v>0805W8F3303T5E</v>
      </c>
      <c r="B37" t="str">
        <v>R12</v>
      </c>
      <c r="C37" t="str">
        <v>RESC0805</v>
      </c>
      <c r="D37" t="str">
        <v>C17629</v>
      </c>
    </row>
    <row r="38" spans="1:4" x14ac:dyDescent="0.25">
      <c r="A38" t="str">
        <v>0805W8F4703T5E</v>
      </c>
      <c r="B38" t="str">
        <v>R34</v>
      </c>
      <c r="C38" t="str">
        <v>RESC0805</v>
      </c>
      <c r="D38" t="str">
        <v>C17709</v>
      </c>
    </row>
    <row r="39" spans="1:4" x14ac:dyDescent="0.25">
      <c r="A39" t="str">
        <v>0532610471</v>
      </c>
      <c r="B39" t="str">
        <v>J2</v>
      </c>
      <c r="C39" t="str">
        <v>0532610471</v>
      </c>
      <c r="D39" t="str">
        <v>C225113</v>
      </c>
    </row>
    <row r="40" spans="1:4" x14ac:dyDescent="0.25">
      <c r="A40" t="str">
        <v>0532610571</v>
      </c>
      <c r="B40" t="str">
        <v>J3</v>
      </c>
      <c r="C40" t="str">
        <v>0532610571</v>
      </c>
      <c r="D40" t="str">
        <v>C225114</v>
      </c>
    </row>
    <row r="41" spans="1:4" x14ac:dyDescent="0.25">
      <c r="A41" t="str">
        <v>0532610671</v>
      </c>
      <c r="B41" t="str">
        <v>J4</v>
      </c>
      <c r="C41" t="str">
        <v>0532610671</v>
      </c>
      <c r="D41" t="str">
        <v>C225115</v>
      </c>
    </row>
    <row r="42" spans="1:4" x14ac:dyDescent="0.25">
      <c r="A42" t="str">
        <v>BAV20WS-7-F0</v>
      </c>
      <c r="B42" t="str">
        <v>D2</v>
      </c>
      <c r="C42" t="str">
        <v>SOD-323</v>
      </c>
      <c r="D42" t="str">
        <v>C151448</v>
      </c>
    </row>
    <row r="43" spans="1:4" x14ac:dyDescent="0.25">
      <c r="A43" t="str">
        <v>BQ25792RQMR</v>
      </c>
      <c r="B43" t="str">
        <v>U1</v>
      </c>
      <c r="C43" t="str">
        <v>BQ25792RQMR</v>
      </c>
      <c r="D43" t="str">
        <v>C2862876</v>
      </c>
    </row>
    <row r="44" spans="1:4" x14ac:dyDescent="0.25">
      <c r="A44" t="str">
        <v>BQ7791500PWR</v>
      </c>
      <c r="B44" t="str">
        <v>U3</v>
      </c>
      <c r="C44" t="str">
        <v>TSSOP-24</v>
      </c>
      <c r="D44" t="str">
        <v>C2876946</v>
      </c>
    </row>
    <row r="45" spans="1:4" x14ac:dyDescent="0.25">
      <c r="A45" t="str">
        <v>BSC026N08NS5</v>
      </c>
      <c r="B45" t="str">
        <v>Q1</v>
      </c>
      <c r="C45" t="str">
        <v>PG-TDSON-8-5</v>
      </c>
      <c r="D45" t="str">
        <v>C5955453</v>
      </c>
    </row>
    <row r="46" spans="1:4" x14ac:dyDescent="0.25">
      <c r="A46" t="str">
        <v>BSC026N08NS5</v>
      </c>
      <c r="B46" t="str">
        <v>Q4</v>
      </c>
      <c r="C46" t="str">
        <v>PG-TDSON-8-5</v>
      </c>
      <c r="D46" t="str">
        <v>C5955453</v>
      </c>
    </row>
    <row r="47" spans="1:4" x14ac:dyDescent="0.25">
      <c r="A47" t="str">
        <v>BSC026N08NS5</v>
      </c>
      <c r="B47" t="str">
        <v>Q5</v>
      </c>
      <c r="C47" t="str">
        <v>PG-TDSON-8-5</v>
      </c>
      <c r="D47" t="str">
        <v>C5955453</v>
      </c>
    </row>
    <row r="48" spans="1:4" x14ac:dyDescent="0.25">
      <c r="A48" t="str">
        <v>BSC026N08NS5</v>
      </c>
      <c r="B48" t="str">
        <v>Q6</v>
      </c>
      <c r="C48" t="str">
        <v>PG-TDSON-8-5</v>
      </c>
      <c r="D48" t="str">
        <v>C5955453</v>
      </c>
    </row>
    <row r="49" spans="1:4" x14ac:dyDescent="0.25">
      <c r="A49" t="str">
        <v>BZT52C12T-7</v>
      </c>
      <c r="B49" t="str">
        <v>D1</v>
      </c>
      <c r="C49" t="str">
        <v>SOD-523</v>
      </c>
      <c r="D49" t="str">
        <v>C507911</v>
      </c>
    </row>
    <row r="50" spans="1:4" x14ac:dyDescent="0.25">
      <c r="A50" t="str">
        <v>BZT52C12T-7</v>
      </c>
      <c r="B50" t="str">
        <v>D3</v>
      </c>
      <c r="C50" t="str">
        <v>SOD-523</v>
      </c>
      <c r="D50" t="str">
        <v>C507911</v>
      </c>
    </row>
    <row r="51" spans="1:4" x14ac:dyDescent="0.25">
      <c r="A51" t="str">
        <v>CC0603KRX7R9BB104</v>
      </c>
      <c r="B51" t="str">
        <v>C32</v>
      </c>
      <c r="C51" t="str">
        <v>CAPC0603X040</v>
      </c>
      <c r="D51" t="str">
        <v>C14663</v>
      </c>
    </row>
    <row r="52" spans="1:4" x14ac:dyDescent="0.25">
      <c r="A52" t="str">
        <v>CC0603KRX7R9BB104</v>
      </c>
      <c r="B52" t="str">
        <v>C33</v>
      </c>
      <c r="C52" t="str">
        <v>CAPC0603X040</v>
      </c>
      <c r="D52" t="str">
        <v>C14663</v>
      </c>
    </row>
    <row r="53" spans="1:4" x14ac:dyDescent="0.25">
      <c r="A53" t="str">
        <v>CC0603KRX7R9BB104</v>
      </c>
      <c r="B53" t="str">
        <v>C34</v>
      </c>
      <c r="C53" t="str">
        <v>CAPC0603X040</v>
      </c>
      <c r="D53" t="str">
        <v>C14663</v>
      </c>
    </row>
    <row r="54" spans="1:4" x14ac:dyDescent="0.25">
      <c r="A54" t="str">
        <v>CL10A105KB8NNNC</v>
      </c>
      <c r="B54" t="str">
        <v>C3</v>
      </c>
      <c r="C54" t="str">
        <v>CAPC0603X040</v>
      </c>
      <c r="D54" t="str">
        <v>C15849</v>
      </c>
    </row>
    <row r="55" spans="1:4" x14ac:dyDescent="0.25">
      <c r="A55" t="str">
        <v>CL10A105KB8NNNC</v>
      </c>
      <c r="B55" t="str">
        <v>C4</v>
      </c>
      <c r="C55" t="str">
        <v>CAPC0603X040</v>
      </c>
      <c r="D55" t="str">
        <v>C15849</v>
      </c>
    </row>
    <row r="56" spans="1:4" x14ac:dyDescent="0.25">
      <c r="A56" t="str">
        <v>CL10A105KB8NNNC</v>
      </c>
      <c r="B56" t="str">
        <v>C5</v>
      </c>
      <c r="C56" t="str">
        <v>CAPC0603X040</v>
      </c>
      <c r="D56" t="str">
        <v>C15849</v>
      </c>
    </row>
    <row r="57" spans="1:4" x14ac:dyDescent="0.25">
      <c r="A57" t="str">
        <v>CL10A105KB8NNNC</v>
      </c>
      <c r="B57" t="str">
        <v>C28</v>
      </c>
      <c r="C57" t="str">
        <v>CAPC0603X040</v>
      </c>
      <c r="D57" t="str">
        <v>C15849</v>
      </c>
    </row>
    <row r="58" spans="1:4" x14ac:dyDescent="0.25">
      <c r="A58" t="str">
        <v>CL10A105KB8NNNC</v>
      </c>
      <c r="B58" t="str">
        <v>C29</v>
      </c>
      <c r="C58" t="str">
        <v>CAPC0603X040</v>
      </c>
      <c r="D58" t="str">
        <v>C15849</v>
      </c>
    </row>
    <row r="59" spans="1:4" x14ac:dyDescent="0.25">
      <c r="A59" t="str">
        <v>CL10A105KB8NNNC</v>
      </c>
      <c r="B59" t="str">
        <v>C30</v>
      </c>
      <c r="C59" t="str">
        <v>CAPC0603X040</v>
      </c>
      <c r="D59" t="str">
        <v>C15849</v>
      </c>
    </row>
    <row r="60" spans="1:4" x14ac:dyDescent="0.25">
      <c r="A60" t="str">
        <v>CL10A105KB8NNNC</v>
      </c>
      <c r="B60" t="str">
        <v>C31</v>
      </c>
      <c r="C60" t="str">
        <v>CAPC0603X040</v>
      </c>
      <c r="D60" t="str">
        <v>C15849</v>
      </c>
    </row>
    <row r="61" spans="1:4" x14ac:dyDescent="0.25">
      <c r="A61" t="str">
        <v>CL10B102KB8NNNC</v>
      </c>
      <c r="B61" t="str">
        <v>C6</v>
      </c>
      <c r="C61" t="str">
        <v>CAPC0603X040</v>
      </c>
      <c r="D61" t="str">
        <v>C1588</v>
      </c>
    </row>
    <row r="62" spans="1:4" x14ac:dyDescent="0.25">
      <c r="A62" t="str">
        <v>CL10B473KB8NNNC</v>
      </c>
      <c r="B62" t="str">
        <v>C12</v>
      </c>
      <c r="C62" t="str">
        <v>CAPC0603X040</v>
      </c>
      <c r="D62" t="str">
        <v>C1622</v>
      </c>
    </row>
    <row r="63" spans="1:4" x14ac:dyDescent="0.25">
      <c r="A63" t="str">
        <v>CL10B473KB8NNNC</v>
      </c>
      <c r="B63" t="str">
        <v>C13</v>
      </c>
      <c r="C63" t="str">
        <v>CAPC0603X040</v>
      </c>
      <c r="D63" t="str">
        <v>C1622</v>
      </c>
    </row>
    <row r="64" spans="1:4" x14ac:dyDescent="0.25">
      <c r="A64" t="str">
        <v>CL21A225KBQNNNE</v>
      </c>
      <c r="B64" t="str">
        <v>C10</v>
      </c>
      <c r="C64" t="str">
        <v>CAPC0805X060</v>
      </c>
      <c r="D64" t="str">
        <v>C377773</v>
      </c>
    </row>
    <row r="65" spans="1:4" x14ac:dyDescent="0.25">
      <c r="A65" t="str">
        <v>CL21A475KAQNNNE</v>
      </c>
      <c r="B65" t="str">
        <v>C11</v>
      </c>
      <c r="C65" t="str">
        <v>CAPC0805X060</v>
      </c>
      <c r="D65" t="str">
        <v>C1779</v>
      </c>
    </row>
    <row r="66" spans="1:4" x14ac:dyDescent="0.25">
      <c r="A66" t="str">
        <v>CL32B106KBJNNNE</v>
      </c>
      <c r="B66" t="str">
        <v>C7</v>
      </c>
      <c r="C66" t="str">
        <v>CAPC1210X090</v>
      </c>
      <c r="D66" t="str">
        <v>C138687</v>
      </c>
    </row>
    <row r="67" spans="1:4" x14ac:dyDescent="0.25">
      <c r="A67" t="str">
        <v>CL32B106KBJNNNE</v>
      </c>
      <c r="B67" t="str">
        <v>C8</v>
      </c>
      <c r="C67" t="str">
        <v>CAPC1210X090</v>
      </c>
      <c r="D67" t="str">
        <v>C138687</v>
      </c>
    </row>
    <row r="68" spans="1:4" x14ac:dyDescent="0.25">
      <c r="A68" t="str">
        <v>CL32B106KBJNNNE</v>
      </c>
      <c r="B68" t="str">
        <v>C14</v>
      </c>
      <c r="C68" t="str">
        <v>CAPC1210X090</v>
      </c>
      <c r="D68" t="str">
        <v>C138687</v>
      </c>
    </row>
    <row r="69" spans="1:4" x14ac:dyDescent="0.25">
      <c r="A69" t="str">
        <v>CL32B106KBJNNNE</v>
      </c>
      <c r="B69" t="str">
        <v>C15</v>
      </c>
      <c r="C69" t="str">
        <v>CAPC1210X090</v>
      </c>
      <c r="D69" t="str">
        <v>C138687</v>
      </c>
    </row>
    <row r="70" spans="1:4" x14ac:dyDescent="0.25">
      <c r="A70" t="str">
        <v>CL32B106KBJNNNE</v>
      </c>
      <c r="B70" t="str">
        <v>C16</v>
      </c>
      <c r="C70" t="str">
        <v>CAPC1210X090</v>
      </c>
      <c r="D70" t="str">
        <v>C138687</v>
      </c>
    </row>
    <row r="71" spans="1:4" x14ac:dyDescent="0.25">
      <c r="A71" t="str">
        <v>CL32B106KBJNNNE</v>
      </c>
      <c r="B71" t="str">
        <v>C17</v>
      </c>
      <c r="C71" t="str">
        <v>CAPC1210X090</v>
      </c>
      <c r="D71" t="str">
        <v>C138687</v>
      </c>
    </row>
    <row r="72" spans="1:4" x14ac:dyDescent="0.25">
      <c r="A72" t="str">
        <v>CL32B106KBJNNNE</v>
      </c>
      <c r="B72" t="str">
        <v>C18</v>
      </c>
      <c r="C72" t="str">
        <v>CAPC1210X090</v>
      </c>
      <c r="D72" t="str">
        <v>C138687</v>
      </c>
    </row>
    <row r="73" spans="1:4" x14ac:dyDescent="0.25">
      <c r="A73" t="str">
        <v>CL32B106KBJNNNE</v>
      </c>
      <c r="B73" t="str">
        <v>C21</v>
      </c>
      <c r="C73" t="str">
        <v>CAPC1210X090</v>
      </c>
      <c r="D73" t="str">
        <v>C138687</v>
      </c>
    </row>
    <row r="74" spans="1:4" x14ac:dyDescent="0.25">
      <c r="A74" t="str">
        <v>CL32B106KBJNNNE</v>
      </c>
      <c r="B74" t="str">
        <v>C22</v>
      </c>
      <c r="C74" t="str">
        <v>CAPC1210X090</v>
      </c>
      <c r="D74" t="str">
        <v>C138687</v>
      </c>
    </row>
    <row r="75" spans="1:4" x14ac:dyDescent="0.25">
      <c r="A75" t="str">
        <v>CL32B106KBJNNNE</v>
      </c>
      <c r="B75" t="str">
        <v>C23</v>
      </c>
      <c r="C75" t="str">
        <v>CAPC1210X090</v>
      </c>
      <c r="D75" t="str">
        <v>C138687</v>
      </c>
    </row>
    <row r="76" spans="1:4" x14ac:dyDescent="0.25">
      <c r="A76" t="str">
        <v>CL32B106KBJNNNE</v>
      </c>
      <c r="B76" t="str">
        <v>C24</v>
      </c>
      <c r="C76" t="str">
        <v>CAPC1210X090</v>
      </c>
      <c r="D76" t="str">
        <v>C138687</v>
      </c>
    </row>
    <row r="77" spans="1:4" x14ac:dyDescent="0.25">
      <c r="A77" t="str">
        <v>CL32B106KBJNNNE</v>
      </c>
      <c r="B77" t="str">
        <v>C25</v>
      </c>
      <c r="C77" t="str">
        <v>CAPC1210X090</v>
      </c>
      <c r="D77" t="str">
        <v>C138687</v>
      </c>
    </row>
    <row r="78" spans="1:4" x14ac:dyDescent="0.25">
      <c r="A78" t="str">
        <v>CL32B106KBJNNNE</v>
      </c>
      <c r="B78" t="str">
        <v>C35</v>
      </c>
      <c r="C78" t="str">
        <v>CAPC1210X090</v>
      </c>
      <c r="D78" t="str">
        <v>C138687</v>
      </c>
    </row>
    <row r="79" spans="1:4" x14ac:dyDescent="0.25">
      <c r="A79" t="str">
        <v>NCD0805R1</v>
      </c>
      <c r="B79" t="str">
        <v>D4</v>
      </c>
      <c r="C79" t="str">
        <v>LEDR_0805</v>
      </c>
      <c r="D79" t="str">
        <v>C84256</v>
      </c>
    </row>
    <row r="80" spans="1:4" x14ac:dyDescent="0.25">
      <c r="A80" t="str">
        <v>RTT059311FTP</v>
      </c>
      <c r="B80" t="str">
        <v>R11</v>
      </c>
      <c r="C80" t="str">
        <v>RESC0805</v>
      </c>
      <c r="D80" t="str">
        <v>C158169</v>
      </c>
    </row>
    <row r="81" spans="1:4" x14ac:dyDescent="0.25">
      <c r="A81" t="str">
        <v>TPS259474LRPWR</v>
      </c>
      <c r="B81" t="str">
        <v>U2</v>
      </c>
      <c r="C81" t="str">
        <v>VFQFN-10</v>
      </c>
      <c r="D81" t="str">
        <v>C2864845</v>
      </c>
    </row>
    <row r="82" spans="1:4" x14ac:dyDescent="0.25">
      <c r="A82" t="str">
        <v>CL21B103KBANNNC</v>
      </c>
      <c r="B82" t="str">
        <v>C1</v>
      </c>
      <c r="C82" t="str">
        <v>CAPC0805X060</v>
      </c>
      <c r="D82" t="str">
        <v>C1710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Cubesat_BMS_BOM</vt:lpstr>
      <vt:lpstr>JLCPCB</vt:lpstr>
      <vt:lpstr>Cubesat_BMS_BOM!Print_Titles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Holland</dc:creator>
  <cp:lastModifiedBy>Tom Holland</cp:lastModifiedBy>
  <dcterms:created xsi:type="dcterms:W3CDTF">2026-01-28T10:24:53Z</dcterms:created>
  <dcterms:modified xsi:type="dcterms:W3CDTF">2026-01-28T10:30:29Z</dcterms:modified>
</cp:coreProperties>
</file>